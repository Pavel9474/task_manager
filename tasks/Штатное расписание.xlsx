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3" i="1" l="1"/>
  <c r="F403" i="1"/>
  <c r="H398" i="1"/>
  <c r="F398" i="1"/>
  <c r="H364" i="1"/>
  <c r="F364" i="1"/>
  <c r="H340" i="1"/>
  <c r="F340" i="1"/>
  <c r="H317" i="1"/>
  <c r="F317" i="1"/>
  <c r="H282" i="1"/>
  <c r="F282" i="1"/>
  <c r="F365" i="1" s="1"/>
  <c r="H268" i="1"/>
  <c r="F268" i="1"/>
  <c r="H264" i="1"/>
  <c r="F264" i="1"/>
  <c r="H260" i="1"/>
  <c r="H365" i="1" s="1"/>
  <c r="G260" i="1"/>
  <c r="F260" i="1"/>
  <c r="H226" i="1"/>
  <c r="F226" i="1"/>
  <c r="H217" i="1"/>
  <c r="F217" i="1"/>
  <c r="H214" i="1"/>
  <c r="F214" i="1"/>
  <c r="H211" i="1"/>
  <c r="F211" i="1"/>
  <c r="H204" i="1"/>
  <c r="F204" i="1"/>
  <c r="H201" i="1"/>
  <c r="H218" i="1" s="1"/>
  <c r="F201" i="1"/>
  <c r="H199" i="1"/>
  <c r="F199" i="1"/>
  <c r="H186" i="1"/>
  <c r="F186" i="1"/>
  <c r="F218" i="1" s="1"/>
  <c r="H173" i="1"/>
  <c r="F173" i="1"/>
  <c r="H168" i="1"/>
  <c r="F168" i="1"/>
  <c r="F227" i="1" s="1"/>
  <c r="H152" i="1"/>
  <c r="F152" i="1"/>
  <c r="H133" i="1"/>
  <c r="F133" i="1"/>
  <c r="H127" i="1"/>
  <c r="F127" i="1"/>
  <c r="H120" i="1"/>
  <c r="F120" i="1"/>
  <c r="H118" i="1"/>
  <c r="F118" i="1"/>
  <c r="H113" i="1"/>
  <c r="F113" i="1"/>
  <c r="H108" i="1"/>
  <c r="F108" i="1"/>
  <c r="H91" i="1"/>
  <c r="F91" i="1"/>
  <c r="H79" i="1"/>
  <c r="F79" i="1"/>
  <c r="H70" i="1"/>
  <c r="F70" i="1"/>
  <c r="H58" i="1"/>
  <c r="F58" i="1"/>
  <c r="H55" i="1"/>
  <c r="F55" i="1"/>
  <c r="H50" i="1"/>
  <c r="F50" i="1"/>
  <c r="H46" i="1"/>
  <c r="F46" i="1"/>
  <c r="F47" i="1" s="1"/>
  <c r="H43" i="1"/>
  <c r="H47" i="1" s="1"/>
  <c r="F43" i="1"/>
  <c r="H36" i="1"/>
  <c r="F36" i="1"/>
  <c r="H33" i="1"/>
  <c r="H37" i="1" s="1"/>
  <c r="F33" i="1"/>
  <c r="F37" i="1" s="1"/>
  <c r="H26" i="1"/>
  <c r="F26" i="1"/>
  <c r="H23" i="1"/>
  <c r="F23" i="1"/>
  <c r="H13" i="1"/>
  <c r="F13" i="1"/>
  <c r="F14" i="1" s="1"/>
  <c r="H10" i="1"/>
  <c r="H14" i="1" s="1"/>
  <c r="F10" i="1"/>
  <c r="F228" i="1" l="1"/>
  <c r="F404" i="1" s="1"/>
  <c r="H227" i="1"/>
  <c r="H228" i="1" s="1"/>
  <c r="H404" i="1" s="1"/>
</calcChain>
</file>

<file path=xl/sharedStrings.xml><?xml version="1.0" encoding="utf-8"?>
<sst xmlns="http://schemas.openxmlformats.org/spreadsheetml/2006/main" count="1518" uniqueCount="601">
  <si>
    <t>№ п/п</t>
  </si>
  <si>
    <t>Структурное подразделение</t>
  </si>
  <si>
    <t>ПКГ</t>
  </si>
  <si>
    <t>Должность</t>
  </si>
  <si>
    <t>ФИО</t>
  </si>
  <si>
    <t>Объем работы по данной должностис указанием вида работы</t>
  </si>
  <si>
    <t>Фактическая занятость</t>
  </si>
  <si>
    <t>1.</t>
  </si>
  <si>
    <t>Руководство</t>
  </si>
  <si>
    <t>8.3</t>
  </si>
  <si>
    <t>Генеральный директор</t>
  </si>
  <si>
    <t>Аклеев Александр Васильевич</t>
  </si>
  <si>
    <t>Основное</t>
  </si>
  <si>
    <t>8.2</t>
  </si>
  <si>
    <t xml:space="preserve">Первый заместитель Генерального директора </t>
  </si>
  <si>
    <t>Никифоров Владисла Сергеевич</t>
  </si>
  <si>
    <t>4.4.1</t>
  </si>
  <si>
    <t>Главный научный сотрудник (курирующая вопросы науки и инновационного развития)</t>
  </si>
  <si>
    <t>Кузнецова Ирина Сергеевна (Озёрск)</t>
  </si>
  <si>
    <t>Главный научный сотрудник (курирующая вопросы радиационной безопасности)</t>
  </si>
  <si>
    <t>Соколова Александра Борисовна (Озёрск)</t>
  </si>
  <si>
    <t>Заместитель Генерального директора по общим вопросам</t>
  </si>
  <si>
    <t>Вакансия</t>
  </si>
  <si>
    <t>Научный руководитель</t>
  </si>
  <si>
    <t>7.1</t>
  </si>
  <si>
    <t>Юрисконсульт</t>
  </si>
  <si>
    <t>1.1</t>
  </si>
  <si>
    <t>Секретариат</t>
  </si>
  <si>
    <t>Документовед</t>
  </si>
  <si>
    <t>Береговая Ольга Алекандровна</t>
  </si>
  <si>
    <t>Марченко Наталья Александровна (Озёрск)</t>
  </si>
  <si>
    <t>Итого по разделу 1</t>
  </si>
  <si>
    <t>2.</t>
  </si>
  <si>
    <t>Научно-методический отдел</t>
  </si>
  <si>
    <t>4.2.2</t>
  </si>
  <si>
    <t>Начальник отдела - ученый секретарь</t>
  </si>
  <si>
    <t xml:space="preserve">Кодинцева Екатерина Александровна </t>
  </si>
  <si>
    <t>Внутреннее совместительство</t>
  </si>
  <si>
    <t>по дек. 2025</t>
  </si>
  <si>
    <t>7.4.1</t>
  </si>
  <si>
    <t>Ведущий специалист</t>
  </si>
  <si>
    <t>Большакова Светлана Александровна</t>
  </si>
  <si>
    <t>Кочева Алевтина Борисовна (Озёрск)</t>
  </si>
  <si>
    <t>Инженер</t>
  </si>
  <si>
    <t xml:space="preserve">Бурак Елена Николаевна (Озёрск) </t>
  </si>
  <si>
    <t>Булавина Ирина Константиновна (Озёрск)</t>
  </si>
  <si>
    <t>Совмещение</t>
  </si>
  <si>
    <t>Библиотекарь</t>
  </si>
  <si>
    <t>Котова Надежда Сергеевна</t>
  </si>
  <si>
    <t>Инженер по метрологии</t>
  </si>
  <si>
    <t xml:space="preserve">Лукиных Татьяна Леонидовна </t>
  </si>
  <si>
    <t>Итого по разделу 2</t>
  </si>
  <si>
    <t>3.</t>
  </si>
  <si>
    <t>Режимно-секретное подразделение</t>
  </si>
  <si>
    <t>8.1.2.1</t>
  </si>
  <si>
    <t>Руководитель режимно-секретного подразделения</t>
  </si>
  <si>
    <t xml:space="preserve">Береговая Ольга Александровна </t>
  </si>
  <si>
    <t>6.1</t>
  </si>
  <si>
    <t>Штатный специалист по режиму секретности</t>
  </si>
  <si>
    <t>Итого по разделу 3</t>
  </si>
  <si>
    <t>4.</t>
  </si>
  <si>
    <t>Отдел бухгалтерского учета и отчетности</t>
  </si>
  <si>
    <t>Главный бухгалтер</t>
  </si>
  <si>
    <t>Громыко Юлия Анатольевна</t>
  </si>
  <si>
    <t>7.5</t>
  </si>
  <si>
    <t>Заместитель главного бухгалтера</t>
  </si>
  <si>
    <t>Золотарёва Мария Николаевна</t>
  </si>
  <si>
    <t>Ведущий бухгалтер</t>
  </si>
  <si>
    <t>Мартыняк Сергей Сергеевич (Озёрск)</t>
  </si>
  <si>
    <t>Бухгалтер</t>
  </si>
  <si>
    <t>Рогожина Елена Николаевна</t>
  </si>
  <si>
    <t>Юдина Любовь Григорьевна</t>
  </si>
  <si>
    <t>4.1.</t>
  </si>
  <si>
    <t>Планово-экономическая группа</t>
  </si>
  <si>
    <t>8.1.3</t>
  </si>
  <si>
    <t>Руководитель группы</t>
  </si>
  <si>
    <t>Пялина Ольга Игоревна</t>
  </si>
  <si>
    <t>Экономист</t>
  </si>
  <si>
    <t>Итого по разделу 4</t>
  </si>
  <si>
    <t>5.</t>
  </si>
  <si>
    <t>Информационно-аналитический отдел</t>
  </si>
  <si>
    <t>8.1.2.2</t>
  </si>
  <si>
    <t>Начальник отдела</t>
  </si>
  <si>
    <t>Клопотюк Евгений Викторович</t>
  </si>
  <si>
    <t>Ведущий специалист по информационным ресурсам</t>
  </si>
  <si>
    <t>Гарбузова Алла Юрьевна</t>
  </si>
  <si>
    <t>7.4.2</t>
  </si>
  <si>
    <t>Ведущий системный администратор</t>
  </si>
  <si>
    <t>Арутюнян Овсеп Гарегинович (Озёрск)</t>
  </si>
  <si>
    <t>Ведущий инженер-программист</t>
  </si>
  <si>
    <t>Котельников Александр Олегович (Озёрск)</t>
  </si>
  <si>
    <t>Администратор информационной безопасности</t>
  </si>
  <si>
    <t xml:space="preserve">Котельников Александр Олегович (Озёрск) </t>
  </si>
  <si>
    <t>5.1.</t>
  </si>
  <si>
    <t>Группа международных отношений</t>
  </si>
  <si>
    <t>Павлюк Анастасия Владимировна (Озёрск)</t>
  </si>
  <si>
    <t>Итого по разделу 5</t>
  </si>
  <si>
    <t>6.</t>
  </si>
  <si>
    <t>Группа организации и проведения закупок</t>
  </si>
  <si>
    <t>Вербицкий Виктор Анатольевич</t>
  </si>
  <si>
    <t>Ведущий специалист по закупкам</t>
  </si>
  <si>
    <t>Ежова Надежда Николаевна (Озёрск)</t>
  </si>
  <si>
    <t>Итого по разделу 6</t>
  </si>
  <si>
    <t>7.</t>
  </si>
  <si>
    <t>Группа по охране труда и гражданской обороне</t>
  </si>
  <si>
    <t>8.1.1</t>
  </si>
  <si>
    <t>Иваненко Вера Николаевна</t>
  </si>
  <si>
    <t>Специалист по охране труда</t>
  </si>
  <si>
    <t>Поротова Валентина Юрьевна (Озёрск)</t>
  </si>
  <si>
    <t>Специалист по гражданской обороне</t>
  </si>
  <si>
    <t xml:space="preserve">Иваненко Вера Николаевна </t>
  </si>
  <si>
    <t>Постникова Анастасия Владимировна (Озёрск)</t>
  </si>
  <si>
    <t>Итого по разделу 7</t>
  </si>
  <si>
    <t>Кадровая служба</t>
  </si>
  <si>
    <t>Руководитель службы</t>
  </si>
  <si>
    <t>Пшеничникова Елена Юрьевна</t>
  </si>
  <si>
    <t>Специалист по кадрам</t>
  </si>
  <si>
    <t>Немогаева Ирина Григорьевна (Озёрск)</t>
  </si>
  <si>
    <t>Итого по разделу 8</t>
  </si>
  <si>
    <t>9</t>
  </si>
  <si>
    <t>Научно-исследовательский институт радиационной биологии и радиационной медицины</t>
  </si>
  <si>
    <t>Директор - главный научный сотрудник</t>
  </si>
  <si>
    <t>Блинова Евгения Андреевна</t>
  </si>
  <si>
    <t>9.1</t>
  </si>
  <si>
    <t>Научно-исследовательский отдел молекулярной радиобиологии</t>
  </si>
  <si>
    <t>9.1.1</t>
  </si>
  <si>
    <t>Научно-исследовательская лаборатория молекулярной генетики и генной инженерии</t>
  </si>
  <si>
    <t>4.1.3</t>
  </si>
  <si>
    <t>Научный сотрудник</t>
  </si>
  <si>
    <t>Кореченкова Анастасия Витальевна</t>
  </si>
  <si>
    <t>4.1.2</t>
  </si>
  <si>
    <t>Младший научный сотрудник</t>
  </si>
  <si>
    <t>2.4</t>
  </si>
  <si>
    <t>Старший техник</t>
  </si>
  <si>
    <t>Шафикова Фаина Харисовна</t>
  </si>
  <si>
    <t>Старший лаборант</t>
  </si>
  <si>
    <t>Куприянов Артём Андреевич</t>
  </si>
  <si>
    <t>Силантьев Иван Владимирович (Озёрск)</t>
  </si>
  <si>
    <t>9.1.2</t>
  </si>
  <si>
    <t>Научно-исследовательская лаборатория постгеномных исследований</t>
  </si>
  <si>
    <t>Янишевская Мария Александровна</t>
  </si>
  <si>
    <t>вакансия</t>
  </si>
  <si>
    <t>9.1.3</t>
  </si>
  <si>
    <t>Научно-исследовательская группа синтеза олигонуклеотидов</t>
  </si>
  <si>
    <t>Руководитель группы - младший научный сотрудник</t>
  </si>
  <si>
    <t>9.2</t>
  </si>
  <si>
    <t>Научно-исследовательский отдел радиационной цитогенетики</t>
  </si>
  <si>
    <t>4.3.1</t>
  </si>
  <si>
    <t xml:space="preserve">Начальник отдела - ведущий научный сотрудник </t>
  </si>
  <si>
    <t>Ахмадуллина Юлия Рафисовна</t>
  </si>
  <si>
    <t>9.2.1</t>
  </si>
  <si>
    <t>Научно-исследовательская лаборатория биодозиметрии</t>
  </si>
  <si>
    <t>Синельщикова Ольга Александровна (Озёрск)</t>
  </si>
  <si>
    <t>Ботыгина Дарья Алексеевна</t>
  </si>
  <si>
    <t>9.2.2</t>
  </si>
  <si>
    <t>Научно-исследовательская лаборатория молекулярно-цитогенетических исследований</t>
  </si>
  <si>
    <t>Кривощапова Яна Владимировна</t>
  </si>
  <si>
    <t>Куприянова Анастасия Вениаминовна</t>
  </si>
  <si>
    <t>Величутина Елена Валерьевна</t>
  </si>
  <si>
    <t>Уборщик служебных помещений</t>
  </si>
  <si>
    <t>Соколова Татьяна Николаевна</t>
  </si>
  <si>
    <t>9.3</t>
  </si>
  <si>
    <t>Научно-исследовательский отдел клеточных технологий</t>
  </si>
  <si>
    <t>9.3.1</t>
  </si>
  <si>
    <t>Научно-исследовательская лаборатория радиационной иммунологии и иммуногенетики</t>
  </si>
  <si>
    <t>Заведующий лабораторией - ведущий научный сотрудник</t>
  </si>
  <si>
    <t>Аклеев Андрей Александрович</t>
  </si>
  <si>
    <t>Ведущий научный сотрудник</t>
  </si>
  <si>
    <t>Кодинцева Екатерина Александровна</t>
  </si>
  <si>
    <t>Ослина Дарья Сергеевна (Озёрск)</t>
  </si>
  <si>
    <t>Адамова Галина Владимировна (Озёрск)</t>
  </si>
  <si>
    <t>Хоменко Полина Олеговна</t>
  </si>
  <si>
    <t>Городкова Марина Геннадьевна (Озёрск)</t>
  </si>
  <si>
    <t>Васютинская Екатерина Алексеевна</t>
  </si>
  <si>
    <t>9.3.2</t>
  </si>
  <si>
    <t>Научно-исследовательская лаборатория гистопатологии и клеточных биотехнологий</t>
  </si>
  <si>
    <t>Заведующий лабораторией - научный сотрудник</t>
  </si>
  <si>
    <t>Котикова Алиса Игоревна</t>
  </si>
  <si>
    <t>Тюхай Максим Викторович</t>
  </si>
  <si>
    <t>Литвиненко Надежда Петровна</t>
  </si>
  <si>
    <t>9.4</t>
  </si>
  <si>
    <t>Научно-исследовательский  экспериментальный отдел</t>
  </si>
  <si>
    <t>Пряхин Евгений Александрович</t>
  </si>
  <si>
    <t>9.4.1.</t>
  </si>
  <si>
    <t>Научно-исследовательская лаборатория экспериментальной радиобиологии</t>
  </si>
  <si>
    <t>4.2.1</t>
  </si>
  <si>
    <t xml:space="preserve">Заведующий лабораторией - старший научный сотрудник </t>
  </si>
  <si>
    <t>Атаманюк Наталья Игоревна</t>
  </si>
  <si>
    <t>Внешнее совместительсво</t>
  </si>
  <si>
    <t>9.4.2</t>
  </si>
  <si>
    <t>Научно-исследовательская лаборатория радиофармпрепаратов</t>
  </si>
  <si>
    <t>Стяжкина Елена Владимировна</t>
  </si>
  <si>
    <t>Перетыкин Андрей Анатольевич</t>
  </si>
  <si>
    <t>3.3</t>
  </si>
  <si>
    <t>Старший инженер</t>
  </si>
  <si>
    <t xml:space="preserve">Ахмадуллин Роман Марселевич </t>
  </si>
  <si>
    <t>Андреева Анастасия Сергеевна</t>
  </si>
  <si>
    <t>9.4.3</t>
  </si>
  <si>
    <t>Научно-исследовательская лаборатория доклинических исследований</t>
  </si>
  <si>
    <t xml:space="preserve">Старший научный сотрудник </t>
  </si>
  <si>
    <t>Шапошникова Ирина Александровна</t>
  </si>
  <si>
    <t>9.4.4</t>
  </si>
  <si>
    <t>Научно-исследовательская лаборатория биологических моделей и виварий</t>
  </si>
  <si>
    <t>Заведующий лабораторией - старший научный сотрудник</t>
  </si>
  <si>
    <t xml:space="preserve">Андреев Сергей Сергеевич </t>
  </si>
  <si>
    <t>Обвинцева Надежда Александровна</t>
  </si>
  <si>
    <t xml:space="preserve">Старший лаборант </t>
  </si>
  <si>
    <t>Чистякова Мария Максимовна</t>
  </si>
  <si>
    <t>Гайсина Рината Мухаметовна</t>
  </si>
  <si>
    <t>Уборщик помещения</t>
  </si>
  <si>
    <t xml:space="preserve">Гайсина Рината Мухаметовна </t>
  </si>
  <si>
    <t>Ветеринарный врач</t>
  </si>
  <si>
    <t>9.5</t>
  </si>
  <si>
    <t>Научно-исследовательский отдел обработки и анализа больших данных</t>
  </si>
  <si>
    <t>Начальник отдела - научный сотрудник</t>
  </si>
  <si>
    <t>Шарагин Павел Алексеевич</t>
  </si>
  <si>
    <t>Инженер-программист</t>
  </si>
  <si>
    <t>9.6</t>
  </si>
  <si>
    <t xml:space="preserve">Уральский радиобиологический биобанк </t>
  </si>
  <si>
    <t>4.1.4</t>
  </si>
  <si>
    <t>Руководитель биобанка</t>
  </si>
  <si>
    <t>Баранова Жанна Георгиевна (Озёрск)</t>
  </si>
  <si>
    <t>Сарварова Наталья Анатольевна (Озёрск)</t>
  </si>
  <si>
    <t>Слукинова Юлия Викторовна (Озёрск)</t>
  </si>
  <si>
    <t>9.7</t>
  </si>
  <si>
    <t>Научно-исследовательский центр коллективного пользования «Клеточные и молекулярные технологии в радиобиологии»</t>
  </si>
  <si>
    <t>9.8</t>
  </si>
  <si>
    <t>Научно-исследовательская лаборатория экологической патопсихологии</t>
  </si>
  <si>
    <t>Заведующий - ведущий научный сотрудник</t>
  </si>
  <si>
    <t>Буртовая Елена Юрьевна</t>
  </si>
  <si>
    <t>Литвинчук Елена Александровна</t>
  </si>
  <si>
    <t xml:space="preserve">Старший инженер </t>
  </si>
  <si>
    <t>Кантина Татьяна Эдуардовна</t>
  </si>
  <si>
    <t>2.1</t>
  </si>
  <si>
    <t>Лаборант</t>
  </si>
  <si>
    <t>Райд Нина Петровна</t>
  </si>
  <si>
    <t xml:space="preserve">Куницина Ирина Анатольевна </t>
  </si>
  <si>
    <t>9.9</t>
  </si>
  <si>
    <t>Отдел платных услуг</t>
  </si>
  <si>
    <t>11.3.2</t>
  </si>
  <si>
    <t>Врач-психотерапевт</t>
  </si>
  <si>
    <t xml:space="preserve">Буртовая Елена Юрьевна </t>
  </si>
  <si>
    <t>Врач-психиатр</t>
  </si>
  <si>
    <t xml:space="preserve">Кантина Татьяна Эдуардовна </t>
  </si>
  <si>
    <t>11.6.2</t>
  </si>
  <si>
    <t>Медицинский психолог</t>
  </si>
  <si>
    <t>Врач-терапевт</t>
  </si>
  <si>
    <t xml:space="preserve">Суровцева Анастасия Владимировна </t>
  </si>
  <si>
    <t>Врач ультразвуковой диагностики</t>
  </si>
  <si>
    <t>Кирьянова Анна Михайловна</t>
  </si>
  <si>
    <t>9.10</t>
  </si>
  <si>
    <t>Челябинский региональный межведомственный экспертный совет</t>
  </si>
  <si>
    <t>11.4.1</t>
  </si>
  <si>
    <t>Председатель</t>
  </si>
  <si>
    <t>11.3.9</t>
  </si>
  <si>
    <t>Заместитель председателя</t>
  </si>
  <si>
    <t xml:space="preserve">Бойко Денис Викторович </t>
  </si>
  <si>
    <t>Врач-эксперт</t>
  </si>
  <si>
    <t>Волосников Дмитрий Кириллович</t>
  </si>
  <si>
    <t>Коробкин Александр Владимирович</t>
  </si>
  <si>
    <t>Шамурова Юлия Юрьевна</t>
  </si>
  <si>
    <t>Азизова Тамара Васильевна</t>
  </si>
  <si>
    <t>Мозерова Екатерина Яковлевна</t>
  </si>
  <si>
    <t>11.3.1</t>
  </si>
  <si>
    <t>Врач рабочей группы</t>
  </si>
  <si>
    <t>Бойко Денис Викторович</t>
  </si>
  <si>
    <t>Надбавка</t>
  </si>
  <si>
    <t>Королева Валентина Николаевна</t>
  </si>
  <si>
    <t>Программист</t>
  </si>
  <si>
    <t>5.1</t>
  </si>
  <si>
    <t>Делопроизволитель</t>
  </si>
  <si>
    <t>Береговая Ольга Александровна</t>
  </si>
  <si>
    <t>Секретарь</t>
  </si>
  <si>
    <t>9.11</t>
  </si>
  <si>
    <t>Клиническое отделение</t>
  </si>
  <si>
    <t>9.11.1</t>
  </si>
  <si>
    <t>Административно-управленческий персонал</t>
  </si>
  <si>
    <t>12.4.1</t>
  </si>
  <si>
    <t>Заведующий клиническим отделением</t>
  </si>
  <si>
    <t>7.3</t>
  </si>
  <si>
    <t>Старший бухгалтер</t>
  </si>
  <si>
    <t>Королёва Валентина Николаевна</t>
  </si>
  <si>
    <t>Старший экономист</t>
  </si>
  <si>
    <t>Администратор базы данных</t>
  </si>
  <si>
    <t>Куницина Ирина Анатольевна</t>
  </si>
  <si>
    <t>Береговой Владимир Александрович</t>
  </si>
  <si>
    <t>Специалист по закупкам</t>
  </si>
  <si>
    <t>9.11.2</t>
  </si>
  <si>
    <t>Поликлиника</t>
  </si>
  <si>
    <t>9.11.2.1</t>
  </si>
  <si>
    <t>Врачи специалисты амбулаторно-поликлинического приема</t>
  </si>
  <si>
    <t>12.3.2</t>
  </si>
  <si>
    <t>Суровцева Анастасия Владимировна</t>
  </si>
  <si>
    <t>Махмутова Юлия Сергеевна</t>
  </si>
  <si>
    <t>Врач-гематолог</t>
  </si>
  <si>
    <t>9.11.3</t>
  </si>
  <si>
    <t>Стационар</t>
  </si>
  <si>
    <t>9.11.3.1</t>
  </si>
  <si>
    <t>Врачи</t>
  </si>
  <si>
    <t>12.3.3</t>
  </si>
  <si>
    <t>Врач - гематолог</t>
  </si>
  <si>
    <t>Врач - терапевт</t>
  </si>
  <si>
    <t xml:space="preserve">Махмутова Юлия Сергеевна </t>
  </si>
  <si>
    <t>Королёва Елена Александровна</t>
  </si>
  <si>
    <t>Врач-эндокринолог</t>
  </si>
  <si>
    <t>Вашеко Алла Анатольевна</t>
  </si>
  <si>
    <t>Врач-невролог</t>
  </si>
  <si>
    <t>Тляумбетова Альмира Асхатовна</t>
  </si>
  <si>
    <t>Врач-офтальмолог</t>
  </si>
  <si>
    <t>Микрюкова Людмила Дмитриевна</t>
  </si>
  <si>
    <t>9.11.3.2</t>
  </si>
  <si>
    <t>Средний медицинский персонал</t>
  </si>
  <si>
    <t>12.2.5</t>
  </si>
  <si>
    <t>Старшая медицинская сестра</t>
  </si>
  <si>
    <t>Пятничено Татьяна Викторовна</t>
  </si>
  <si>
    <t>12.2.4</t>
  </si>
  <si>
    <t>Медицинская сестра процедурной</t>
  </si>
  <si>
    <t>Царенко Надежа Ивановна</t>
  </si>
  <si>
    <t>Кузнецова Ольга Петровна</t>
  </si>
  <si>
    <t>12.2.3</t>
  </si>
  <si>
    <t>Медицинская сестра палатная</t>
  </si>
  <si>
    <t xml:space="preserve">Кочеткова Елена Сергеевна </t>
  </si>
  <si>
    <t>Носаева Наталья Юрьевна</t>
  </si>
  <si>
    <t xml:space="preserve">Байжигитова Сабина Сайфулловна </t>
  </si>
  <si>
    <t xml:space="preserve">Файферт Светлана Михайловна </t>
  </si>
  <si>
    <t xml:space="preserve">Аббасова Нушабе Эльдар кызы </t>
  </si>
  <si>
    <t>9.11.3.3</t>
  </si>
  <si>
    <t>Кабинет ультразвуковой диагностики</t>
  </si>
  <si>
    <t>9.11.3.4</t>
  </si>
  <si>
    <t>Кабинет функциональной диагностики</t>
  </si>
  <si>
    <t>Врач функциональной диагностики</t>
  </si>
  <si>
    <t>Лавлинская Наталья Владимировна</t>
  </si>
  <si>
    <t>Медицинская сестра</t>
  </si>
  <si>
    <t>9.11.3.5</t>
  </si>
  <si>
    <t>Клинико - диагностическая лаборатория</t>
  </si>
  <si>
    <t>Врач клинической лабораторной диагностики</t>
  </si>
  <si>
    <t>Гончарова Светлана Николаевна</t>
  </si>
  <si>
    <t>12.6.2</t>
  </si>
  <si>
    <t>Биолог</t>
  </si>
  <si>
    <t>Варфоломеева Татьяна Александровна</t>
  </si>
  <si>
    <t>Прокофьева Ангелина Николаевна</t>
  </si>
  <si>
    <t>Ямилова Дарья Сергеевна</t>
  </si>
  <si>
    <t>Черкашина Маргарита Михайловна</t>
  </si>
  <si>
    <t>9.11.3.6</t>
  </si>
  <si>
    <t>Рентгенологический  кабинет</t>
  </si>
  <si>
    <t>Врач-рентгенолог</t>
  </si>
  <si>
    <t>Мочалина Елена Николаевна</t>
  </si>
  <si>
    <t>12.2.2</t>
  </si>
  <si>
    <t>Рентгенолаборант</t>
  </si>
  <si>
    <t>Кораблева Евгения Васильевна</t>
  </si>
  <si>
    <t>9.11.3.7</t>
  </si>
  <si>
    <t>Кабинет физиотерапии</t>
  </si>
  <si>
    <t>3.2</t>
  </si>
  <si>
    <t>Врач-физиотерапевт</t>
  </si>
  <si>
    <t>Савченко Наталья Федоровна</t>
  </si>
  <si>
    <t>2.3</t>
  </si>
  <si>
    <t>Медицинская сестра по физиотерапии</t>
  </si>
  <si>
    <t>Украинская Елена Валерьевна</t>
  </si>
  <si>
    <t>9.11.4</t>
  </si>
  <si>
    <t>Прочий  персонал</t>
  </si>
  <si>
    <t>10.1</t>
  </si>
  <si>
    <t>Слесарь-сантехник</t>
  </si>
  <si>
    <t>Медведев Алексей Николаевич</t>
  </si>
  <si>
    <t>Рабочий по комплексному обслуживанию и ремонту здания</t>
  </si>
  <si>
    <t>Прохоров Константин Михайлович</t>
  </si>
  <si>
    <t>Водитель</t>
  </si>
  <si>
    <t>Козлов Владимир Иванович</t>
  </si>
  <si>
    <t>Электромонтер по ремонту и обслуживанию электрооборудования</t>
  </si>
  <si>
    <t>Чекрыжов Виктор Геннадьевич</t>
  </si>
  <si>
    <t>Оператор ЭВМ</t>
  </si>
  <si>
    <t>Лысенко Марина Петровна</t>
  </si>
  <si>
    <t>Соколова Татьяна Павловна</t>
  </si>
  <si>
    <t>Кастелянша</t>
  </si>
  <si>
    <t>Ануприева Татьяна Николаевна</t>
  </si>
  <si>
    <t>Итого по разделу 9</t>
  </si>
  <si>
    <t>10.</t>
  </si>
  <si>
    <t>Научно-исследовательский институт радиологической защиты</t>
  </si>
  <si>
    <t>Шишкина Елена Анатольевна</t>
  </si>
  <si>
    <t>Научно-исследовательский отдел радиационной безопасности</t>
  </si>
  <si>
    <t xml:space="preserve">Начальник отдела - научный сотрудник  </t>
  </si>
  <si>
    <t>Ефимов Александр Владимирович (Озёрск)</t>
  </si>
  <si>
    <t>10.1.1</t>
  </si>
  <si>
    <t>Научно-исследовательская лаборатория радиационных измерений</t>
  </si>
  <si>
    <t xml:space="preserve">Заведующий лабораторией - младший научный сотрудник </t>
  </si>
  <si>
    <t>Ишунина Мария Владимировна (Озёрск)</t>
  </si>
  <si>
    <t>3.4</t>
  </si>
  <si>
    <t>Ведущий инженер-исследователь</t>
  </si>
  <si>
    <t>Левина Елена Сергеевна (Озёрск)</t>
  </si>
  <si>
    <t>Андреев Сергей Сергеевич</t>
  </si>
  <si>
    <t>Инженер-исследователь</t>
  </si>
  <si>
    <t>Цибизова Алена Владимировна (Озёрск)</t>
  </si>
  <si>
    <t>Лаборант-исследователь</t>
  </si>
  <si>
    <t>Завьялова Ирина Валерьевна (Озёрск)</t>
  </si>
  <si>
    <t>Беседина Тамара Викторовна (Озёрск)</t>
  </si>
  <si>
    <t>Зулаева Татьяна Геннадьевна (Озёрск)</t>
  </si>
  <si>
    <t xml:space="preserve">Менеджер по качеству </t>
  </si>
  <si>
    <t>10.1.2</t>
  </si>
  <si>
    <t>Научно-исследовательская лаборатория индивидуального дозиметрического контроля</t>
  </si>
  <si>
    <t xml:space="preserve">Соколова Александра Борисовна (Озёрск) </t>
  </si>
  <si>
    <t>Ведущий электроник</t>
  </si>
  <si>
    <t>Быданов Олег Михайлович (Озёрск)</t>
  </si>
  <si>
    <t>Ведущий инженер-физик</t>
  </si>
  <si>
    <t xml:space="preserve">Сыпко Сергей Алексеевич (Озёрск) </t>
  </si>
  <si>
    <t xml:space="preserve">Введенский Владимир Эдуардович (Озёрск) </t>
  </si>
  <si>
    <t>Гаврилова Виктория Александровна (Озёрск)</t>
  </si>
  <si>
    <t>Бобов Георгий Николаевич (Озёрск)</t>
  </si>
  <si>
    <t>Пудикова Татьяна Витальевна (Озёрск)</t>
  </si>
  <si>
    <t>Хайретдинова Ольга Анатольевна (Озёрск)</t>
  </si>
  <si>
    <t>Маценко Алексей Константинович (Озёрск)</t>
  </si>
  <si>
    <t>10.1.3</t>
  </si>
  <si>
    <t>Научно-исследовательская лаборатория математического моделирования и программно-информационного обеспечения</t>
  </si>
  <si>
    <t>Востротин Вадим Владимирович (Озёрск)</t>
  </si>
  <si>
    <t>Джунушалиев Артём Борисович (Озёрск)</t>
  </si>
  <si>
    <t>Логошин Никита Сергеевич (Озёрск)</t>
  </si>
  <si>
    <t>10.1.4</t>
  </si>
  <si>
    <t>Научно-исследовательская лаборатория радиационной гигиены</t>
  </si>
  <si>
    <t>Финашов Леонид Викторович (Озёрск)</t>
  </si>
  <si>
    <t xml:space="preserve">Научный сотрудник </t>
  </si>
  <si>
    <t>Мамин Анатолий Иванович (Озёрск)</t>
  </si>
  <si>
    <t>Меньших Татьяна Борисовна (Озёрск)</t>
  </si>
  <si>
    <t>Легких Иван Викторович (Озёрск)</t>
  </si>
  <si>
    <t>10.1.5</t>
  </si>
  <si>
    <t>Орган инспекции</t>
  </si>
  <si>
    <t>Руководитель органа инспекции, Эксперт</t>
  </si>
  <si>
    <t>Эксперт</t>
  </si>
  <si>
    <t>Мамин Анатолий Иванович (Озёрск) совмещение</t>
  </si>
  <si>
    <t>10.2</t>
  </si>
  <si>
    <t>Научно-исследовательская лаборатория радиоэкологии</t>
  </si>
  <si>
    <t xml:space="preserve">Заведующий лабораторией - научный сотрудник </t>
  </si>
  <si>
    <t xml:space="preserve">Перетыкин Андрей Анатольевич </t>
  </si>
  <si>
    <t xml:space="preserve">Пряхин Евгений Александрович </t>
  </si>
  <si>
    <t>Янов Александр Юрьевич (Озёрск)</t>
  </si>
  <si>
    <t>10.3</t>
  </si>
  <si>
    <t>Научно-исследовательский отдел радиационной биофизики</t>
  </si>
  <si>
    <t>10.3.1</t>
  </si>
  <si>
    <t>Научно-исследовательская лаборатория цифровых и вычислительных методов дозиметрии</t>
  </si>
  <si>
    <t xml:space="preserve">Заведующий лабораторией - ведущий научный сотрудник </t>
  </si>
  <si>
    <t>Толстых Евгения Игоревна</t>
  </si>
  <si>
    <t>Старший научный сотрудник</t>
  </si>
  <si>
    <t xml:space="preserve">Востротин Вадим Владимирович (Озёрск) </t>
  </si>
  <si>
    <t>Волчкова Александра Юрьевна (декретный отпуск)</t>
  </si>
  <si>
    <t>Старший инженер-исследователь</t>
  </si>
  <si>
    <t>Микушева Раиса Константиновна</t>
  </si>
  <si>
    <t>10.3.2</t>
  </si>
  <si>
    <t>Научно-исследовательская лаборатория микродозиметрии</t>
  </si>
  <si>
    <t>Сыпко Сергей Алексеевич (Озёрск)</t>
  </si>
  <si>
    <t>10.3.3</t>
  </si>
  <si>
    <t>Научно-исследовательская лаборатория дозиметрии методом электронного парамагнитного резонанса</t>
  </si>
  <si>
    <t>Аладова Елена Евгеньевна (Озёрск)</t>
  </si>
  <si>
    <t>Фомин Евгений Павлович (Озёрск+)</t>
  </si>
  <si>
    <t>10.4</t>
  </si>
  <si>
    <t>Научно-исследовательский отдел радиационной эпидемиологии</t>
  </si>
  <si>
    <t xml:space="preserve">Начальник отдела - главный научный сотрудник </t>
  </si>
  <si>
    <t xml:space="preserve">Азизова Тамара Васильевна (Озёрск) </t>
  </si>
  <si>
    <t>10.4.1</t>
  </si>
  <si>
    <t xml:space="preserve">Научно-исследовательская лаборатория исследований нераковых эффектов профессионального облучения </t>
  </si>
  <si>
    <t>Жунтова Галина Вадимовна (Озёрск)</t>
  </si>
  <si>
    <t>Осовец Сергей Васильевич (Озёрск)</t>
  </si>
  <si>
    <t>Мосеева Мария Борисовна (Озёрск)</t>
  </si>
  <si>
    <t>Брагин Евгений Викторович (Озёрск)</t>
  </si>
  <si>
    <t>Банникова Мария Владимировна (Озёрск)</t>
  </si>
  <si>
    <t>Брикс Ксения Васльевна (Озёрск)</t>
  </si>
  <si>
    <t>Богатикова Ирина Сергеевна (Озёрск)</t>
  </si>
  <si>
    <t>Шайдуллина Наталья Георгиевна (Озёрск)</t>
  </si>
  <si>
    <t>10.4.2</t>
  </si>
  <si>
    <t>Научно-исследовательская лаборатория исследований онкологических эффектов профессионального облучения</t>
  </si>
  <si>
    <t>Заведующий лабораторией - главный научный сотрудник</t>
  </si>
  <si>
    <t>Сокольников Михаил Эдуардович (Озёрск)</t>
  </si>
  <si>
    <t xml:space="preserve">Кузнецова Ирина Сергеевна (Озёрск) </t>
  </si>
  <si>
    <t>Осипов Михаил Викторович (Озёрск)</t>
  </si>
  <si>
    <t>Денисова Елена Владимировна (Озёрск)</t>
  </si>
  <si>
    <t>Ведущий инженер</t>
  </si>
  <si>
    <t>Головина Екатерина Юрьевна (Озёрск)</t>
  </si>
  <si>
    <t>Кутенева Елена Михайловна (Озёрск)</t>
  </si>
  <si>
    <t>10.4.3</t>
  </si>
  <si>
    <t>Научно-исследовательская лаборатория исследований эффектов облучения населения</t>
  </si>
  <si>
    <t xml:space="preserve">Заведующий лабораторией - ведущий научный сотрудник  </t>
  </si>
  <si>
    <t>Крестинина Людмила Юрьевна</t>
  </si>
  <si>
    <t>Силкин Станислав Сергеевич</t>
  </si>
  <si>
    <t xml:space="preserve">Завьялов Данила Александрович </t>
  </si>
  <si>
    <t>Епифанова Светлана Борисовна</t>
  </si>
  <si>
    <t>Ситникова Лариса Анатольевна</t>
  </si>
  <si>
    <t>Казакова Ольга Генадиевна</t>
  </si>
  <si>
    <t>Старший лаборант-исследователь</t>
  </si>
  <si>
    <t xml:space="preserve">Орехова Ксения Сергеевна </t>
  </si>
  <si>
    <t>10.4.4</t>
  </si>
  <si>
    <t>Научно-исследовательская лаборатория исследований эффектов облучения у потомков</t>
  </si>
  <si>
    <t xml:space="preserve">Соснина Светлана Фаридовна (Озёрск) </t>
  </si>
  <si>
    <t xml:space="preserve">Царева Юлия Вячеславовна (Озёрск) </t>
  </si>
  <si>
    <t>Румянцева Анна Валерьевна (Озёрск)  (декретный отпуск)</t>
  </si>
  <si>
    <t xml:space="preserve">Кабирова Наиля Равильевна (Озёрск) </t>
  </si>
  <si>
    <t xml:space="preserve">Сокольникова Софья Сергеевна (Озёрск) </t>
  </si>
  <si>
    <t xml:space="preserve">Груздева Елена Александровна (Озёрск) </t>
  </si>
  <si>
    <t xml:space="preserve">Макута Марина Сергеевна (Озёрск) </t>
  </si>
  <si>
    <t xml:space="preserve">Кольцова Екатериина Александровна (Озёрск) </t>
  </si>
  <si>
    <t>10.5</t>
  </si>
  <si>
    <t>Научно-исследовательский отдел медико-биологической и демографической аналитики</t>
  </si>
  <si>
    <t xml:space="preserve">Начальник отдела - научный сотрудник </t>
  </si>
  <si>
    <t xml:space="preserve">Григорьева Евгения Сергеевна (Озёрск) </t>
  </si>
  <si>
    <t>10.5.1</t>
  </si>
  <si>
    <t>Группа информационной поддержки исследований персонала и окружающей среды</t>
  </si>
  <si>
    <t xml:space="preserve">Окатенко Павел Викторович (Озёрск) </t>
  </si>
  <si>
    <t>Тепляков Игорь Иванович (Озёрск)</t>
  </si>
  <si>
    <t>Ольховский Иван Сергеевич (Озёрск)</t>
  </si>
  <si>
    <t xml:space="preserve">Зорова Светлана Михайловна (Озёрск)  </t>
  </si>
  <si>
    <t xml:space="preserve">Мальцева Елена Владимировна (Озёрск) </t>
  </si>
  <si>
    <t xml:space="preserve">Еременко Лидия Евгеньевна (Озёрск) </t>
  </si>
  <si>
    <t xml:space="preserve">Слукинова Елена Федоровна (Озёрск) </t>
  </si>
  <si>
    <t xml:space="preserve">Зайкова Ольга Викторовна (Озёрск) </t>
  </si>
  <si>
    <t xml:space="preserve">Янова Елена Юрьевна (Озёрск) </t>
  </si>
  <si>
    <t>Тишимова Елена Викторовна (Озёрск)</t>
  </si>
  <si>
    <t>Березина Арина Владиславовна (Озёрск) (декретный отпуск)</t>
  </si>
  <si>
    <t>10.5.2</t>
  </si>
  <si>
    <t>Группа информационной поддержки исследований населения</t>
  </si>
  <si>
    <t xml:space="preserve">Руководитель группы - младший научный сотрудник </t>
  </si>
  <si>
    <t>Тряпицына Светлана Васильевна</t>
  </si>
  <si>
    <t>Старцев Николай Валерьевич</t>
  </si>
  <si>
    <t>Барсукова Зинаида Евгеньевна</t>
  </si>
  <si>
    <t>Кривощапов Виктор Александрович</t>
  </si>
  <si>
    <t>Лукиных Татьяна Леонидовна</t>
  </si>
  <si>
    <t>Кочнева Ольга Викторовна</t>
  </si>
  <si>
    <t>Решеткова Елена Юрьевна</t>
  </si>
  <si>
    <t>10.5.3</t>
  </si>
  <si>
    <t>Научно-исследовательская лаборатория демографических исследований</t>
  </si>
  <si>
    <t xml:space="preserve">Заведущий лабораторией - ведущий научный сотрудник </t>
  </si>
  <si>
    <t>Тельнов Виталий Иванович (Озёрск)</t>
  </si>
  <si>
    <t xml:space="preserve">Тряпицына Светлана Васильевна </t>
  </si>
  <si>
    <t>10.6</t>
  </si>
  <si>
    <t>Научно-исследовательский отдел аварийного реагирования</t>
  </si>
  <si>
    <t xml:space="preserve">Чувашов Николай Иванович (Озёрск) </t>
  </si>
  <si>
    <t>10.6.1</t>
  </si>
  <si>
    <t>Научно-исследовательская и методическая группа</t>
  </si>
  <si>
    <t>Руководитель группы - старший научный сотрудник</t>
  </si>
  <si>
    <t xml:space="preserve">Аладова Елена Евгеньевна (Озёрск) </t>
  </si>
  <si>
    <t>10.6.2</t>
  </si>
  <si>
    <t>Южно-Уральский региональный аварийный медико-дозиметрический центр</t>
  </si>
  <si>
    <t>Чувашов Николай Иванович (Озёрск)</t>
  </si>
  <si>
    <t xml:space="preserve">Ведущий системный администратор </t>
  </si>
  <si>
    <t>Маров Василий Александрович (Озёрск)</t>
  </si>
  <si>
    <t>Михеева Татьяна Вадимовна (Озёрск)  (декретный отпуск)</t>
  </si>
  <si>
    <t>Бригада оперативно-диспетчерского контроля</t>
  </si>
  <si>
    <t>Старший оперативный дежурный</t>
  </si>
  <si>
    <t xml:space="preserve">Малев Александр Анатольевич (Озёрск)  </t>
  </si>
  <si>
    <t>Дежурный оперативный</t>
  </si>
  <si>
    <t xml:space="preserve">Небензя Владимир Андреевич (Озёрск)  </t>
  </si>
  <si>
    <t xml:space="preserve">Спиридонова Наталья Николаевна (Озёрск)  </t>
  </si>
  <si>
    <t xml:space="preserve">Малышева Анна Сергеевна (Озёрск)  </t>
  </si>
  <si>
    <t>Специализированная радиологическая бригада (СРБ)</t>
  </si>
  <si>
    <t>Руководитель бригады</t>
  </si>
  <si>
    <t xml:space="preserve">Ефимов Александр Владимирович (Озёрск) </t>
  </si>
  <si>
    <t>Заместитель руководителя бригады</t>
  </si>
  <si>
    <t xml:space="preserve">Эксперт </t>
  </si>
  <si>
    <t>Инженер-дозиметрист</t>
  </si>
  <si>
    <t xml:space="preserve">Маров Василий Александрович (Озёрск) </t>
  </si>
  <si>
    <t>Итого по разделу 10</t>
  </si>
  <si>
    <t>11</t>
  </si>
  <si>
    <t>Хозяйственный отдел</t>
  </si>
  <si>
    <t>Солдатов Павел Викторович</t>
  </si>
  <si>
    <t>Заместитель начальника отдела</t>
  </si>
  <si>
    <t xml:space="preserve">Зелиг Александр Александрович (Озёрск) </t>
  </si>
  <si>
    <t>7.3.1</t>
  </si>
  <si>
    <t xml:space="preserve">Сластов Николай Иванович (Озёрск) </t>
  </si>
  <si>
    <t>Слесарь-ремонтник</t>
  </si>
  <si>
    <t>Сластов Николай Иванович  (Озёрск)</t>
  </si>
  <si>
    <t>Рабочий по комплексному обслуживанию и ремонту зданий</t>
  </si>
  <si>
    <t>Криводенченков Юрий Николаевич (Озёрск)</t>
  </si>
  <si>
    <t>Гуськов Дмитрий Александрович (Озёрск)</t>
  </si>
  <si>
    <t>6.2</t>
  </si>
  <si>
    <t>Заведующий хозяйством</t>
  </si>
  <si>
    <t>Львова Надежда Ивановна</t>
  </si>
  <si>
    <t>Попова Татьяна Николевна (Озёрск)</t>
  </si>
  <si>
    <t>Комендант здания клиники</t>
  </si>
  <si>
    <t>Леонтьева Светлана Николевна (Озёрск)</t>
  </si>
  <si>
    <t>Столяр</t>
  </si>
  <si>
    <t>Крикун Владимир Николаевич (Озёрск)</t>
  </si>
  <si>
    <t>Вахтер</t>
  </si>
  <si>
    <t>Малышкина Людмила Эноховна (Озёрск)</t>
  </si>
  <si>
    <t>Челядинова Надежда Анатольевна (Озёрск)</t>
  </si>
  <si>
    <t>Демидова Надежда Ивановна (Озёрск)</t>
  </si>
  <si>
    <t>Щуховец Сания Сафеевна (Озёрск)</t>
  </si>
  <si>
    <t>Румянцева Любовь Александровна (Озёрск)</t>
  </si>
  <si>
    <t>Сычева Татьяна Николевна (Озёрск)</t>
  </si>
  <si>
    <t>Сущенко Надежда Катыповна (Озёрск)</t>
  </si>
  <si>
    <t>Клевец Мария Махайловна (Озёрск)</t>
  </si>
  <si>
    <t>Криводенченкова Светлана Николаевна (Озёрск)</t>
  </si>
  <si>
    <t>Каменщикова Екатерина Александровна (Озёрск)</t>
  </si>
  <si>
    <t>Романова Татьяна Владиславовна (Озёрск)</t>
  </si>
  <si>
    <t>Сидорчева Ольга Петровна (Озёрск)</t>
  </si>
  <si>
    <t>Итого по разделу 11</t>
  </si>
  <si>
    <t>12</t>
  </si>
  <si>
    <t>Гараж</t>
  </si>
  <si>
    <t>6.5</t>
  </si>
  <si>
    <t>Заведующий гаражом</t>
  </si>
  <si>
    <t>Абразей Вячеслав Евгеньевич</t>
  </si>
  <si>
    <t xml:space="preserve">Старший водитель </t>
  </si>
  <si>
    <t>Сажнев Сергей Юрьевич</t>
  </si>
  <si>
    <t xml:space="preserve">Зверев Андрей Леонидович (Озёрск) </t>
  </si>
  <si>
    <t xml:space="preserve">Водитель </t>
  </si>
  <si>
    <t>Занята (Озёрск)</t>
  </si>
  <si>
    <t>Итого по разделу 12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</si>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</sst>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#,##0.0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trike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trike/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top" wrapText="1"/>
    </xf>
    <xf numFmtId="49" fontId="3" fillId="3" borderId="2" xfId="0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left" vertical="top" wrapText="1"/>
    </xf>
    <xf numFmtId="49" fontId="3" fillId="2" borderId="2" xfId="0" applyNumberFormat="1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4" fillId="0" borderId="1" xfId="0" applyFont="1" applyFill="1" applyBorder="1" applyAlignment="1">
      <alignment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2" fontId="5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vertical="top" wrapText="1"/>
    </xf>
    <xf numFmtId="49" fontId="7" fillId="0" borderId="1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top"/>
    </xf>
    <xf numFmtId="0" fontId="2" fillId="2" borderId="2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2" xfId="0" applyFont="1" applyFill="1" applyBorder="1" applyAlignment="1">
      <alignment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0" fontId="7" fillId="0" borderId="3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2" fontId="3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49" fontId="2" fillId="2" borderId="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center" vertical="top" wrapText="1"/>
    </xf>
    <xf numFmtId="0" fontId="3" fillId="3" borderId="0" xfId="0" applyFont="1" applyFill="1" applyAlignment="1">
      <alignment vertical="center"/>
    </xf>
    <xf numFmtId="49" fontId="2" fillId="3" borderId="4" xfId="0" applyNumberFormat="1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left" vertical="top" wrapText="1"/>
    </xf>
    <xf numFmtId="49" fontId="2" fillId="3" borderId="3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49" fontId="3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Fill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2" xfId="0" applyFont="1" applyFill="1" applyBorder="1" applyAlignment="1">
      <alignment vertical="center"/>
    </xf>
    <xf numFmtId="49" fontId="3" fillId="0" borderId="3" xfId="0" applyNumberFormat="1" applyFont="1" applyBorder="1" applyAlignment="1">
      <alignment horizontal="center" vertical="top" wrapText="1"/>
    </xf>
    <xf numFmtId="2" fontId="3" fillId="3" borderId="3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vertical="center" wrapText="1"/>
    </xf>
    <xf numFmtId="49" fontId="3" fillId="3" borderId="2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49" fontId="3" fillId="3" borderId="4" xfId="0" applyNumberFormat="1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2" fontId="3" fillId="0" borderId="3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49" fontId="3" fillId="3" borderId="0" xfId="0" applyNumberFormat="1" applyFont="1" applyFill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top" wrapText="1"/>
    </xf>
    <xf numFmtId="2" fontId="3" fillId="3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49" fontId="3" fillId="3" borderId="2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center"/>
    </xf>
    <xf numFmtId="4" fontId="4" fillId="3" borderId="3" xfId="1" applyNumberFormat="1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4" fontId="4" fillId="3" borderId="2" xfId="1" applyNumberFormat="1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vertical="top" wrapText="1"/>
    </xf>
    <xf numFmtId="2" fontId="2" fillId="4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top" wrapText="1"/>
    </xf>
    <xf numFmtId="2" fontId="4" fillId="3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vertical="center"/>
    </xf>
    <xf numFmtId="2" fontId="12" fillId="2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2" fontId="3" fillId="3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66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top" wrapText="1"/>
    </xf>
    <xf numFmtId="166" fontId="3" fillId="3" borderId="3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top" wrapText="1"/>
    </xf>
    <xf numFmtId="0" fontId="7" fillId="3" borderId="4" xfId="0" applyFont="1" applyFill="1" applyBorder="1" applyAlignment="1">
      <alignment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vertical="top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top" wrapText="1"/>
    </xf>
    <xf numFmtId="0" fontId="12" fillId="0" borderId="2" xfId="0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vertical="top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top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4"/>
  <sheetViews>
    <sheetView tabSelected="1" workbookViewId="0">
      <selection activeCell="F1" sqref="F1:G2"/>
    </sheetView>
  </sheetViews>
  <sheetFormatPr defaultRowHeight="15" x14ac:dyDescent="0.25"/>
  <cols>
    <col min="2" max="2" width="38" bestFit="1" customWidth="1"/>
    <col min="3" max="3" width="5.7109375" bestFit="1" customWidth="1"/>
    <col min="4" max="4" width="32.7109375" bestFit="1" customWidth="1"/>
    <col min="5" max="5" width="33" bestFit="1" customWidth="1"/>
    <col min="7" max="7" width="11.28515625" bestFit="1" customWidth="1"/>
    <col min="8" max="8" width="20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25">
      <c r="A2" s="1"/>
      <c r="B2" s="1"/>
      <c r="C2" s="3"/>
      <c r="D2" s="1"/>
      <c r="E2" s="1"/>
      <c r="F2" s="1"/>
      <c r="G2" s="1"/>
      <c r="H2" s="1"/>
    </row>
    <row r="3" spans="1:8" ht="63.75" x14ac:dyDescent="0.25">
      <c r="A3" s="4" t="s">
        <v>7</v>
      </c>
      <c r="B3" s="5" t="s">
        <v>8</v>
      </c>
      <c r="C3" s="6" t="s">
        <v>9</v>
      </c>
      <c r="D3" s="7" t="s">
        <v>10</v>
      </c>
      <c r="E3" s="8" t="s">
        <v>11</v>
      </c>
      <c r="F3" s="9">
        <v>1</v>
      </c>
      <c r="G3" s="9" t="s">
        <v>12</v>
      </c>
      <c r="H3" s="9">
        <v>1</v>
      </c>
    </row>
    <row r="4" spans="1:8" ht="76.5" x14ac:dyDescent="0.25">
      <c r="A4" s="10"/>
      <c r="B4" s="11"/>
      <c r="C4" s="6" t="s">
        <v>13</v>
      </c>
      <c r="D4" s="7" t="s">
        <v>14</v>
      </c>
      <c r="E4" s="8" t="s">
        <v>15</v>
      </c>
      <c r="F4" s="9">
        <v>1</v>
      </c>
      <c r="G4" s="9" t="s">
        <v>12</v>
      </c>
      <c r="H4" s="9">
        <v>1</v>
      </c>
    </row>
    <row r="5" spans="1:8" ht="140.25" x14ac:dyDescent="0.25">
      <c r="A5" s="10"/>
      <c r="B5" s="11"/>
      <c r="C5" s="6" t="s">
        <v>16</v>
      </c>
      <c r="D5" s="7" t="s">
        <v>17</v>
      </c>
      <c r="E5" s="8" t="s">
        <v>18</v>
      </c>
      <c r="F5" s="9">
        <v>1</v>
      </c>
      <c r="G5" s="9" t="s">
        <v>12</v>
      </c>
      <c r="H5" s="9">
        <v>1</v>
      </c>
    </row>
    <row r="6" spans="1:8" ht="140.25" x14ac:dyDescent="0.25">
      <c r="A6" s="10"/>
      <c r="B6" s="11"/>
      <c r="C6" s="6" t="s">
        <v>16</v>
      </c>
      <c r="D6" s="7" t="s">
        <v>19</v>
      </c>
      <c r="E6" s="8" t="s">
        <v>20</v>
      </c>
      <c r="F6" s="9">
        <v>1</v>
      </c>
      <c r="G6" s="9" t="s">
        <v>12</v>
      </c>
      <c r="H6" s="9">
        <v>1</v>
      </c>
    </row>
    <row r="7" spans="1:8" ht="89.25" x14ac:dyDescent="0.25">
      <c r="A7" s="10"/>
      <c r="B7" s="11"/>
      <c r="C7" s="6" t="s">
        <v>13</v>
      </c>
      <c r="D7" s="7" t="s">
        <v>21</v>
      </c>
      <c r="E7" s="8" t="s">
        <v>22</v>
      </c>
      <c r="F7" s="9">
        <v>1</v>
      </c>
      <c r="G7" s="9"/>
      <c r="H7" s="9">
        <v>1</v>
      </c>
    </row>
    <row r="8" spans="1:8" ht="38.25" x14ac:dyDescent="0.25">
      <c r="A8" s="10"/>
      <c r="B8" s="11"/>
      <c r="C8" s="6" t="s">
        <v>16</v>
      </c>
      <c r="D8" s="7" t="s">
        <v>23</v>
      </c>
      <c r="E8" s="12" t="s">
        <v>22</v>
      </c>
      <c r="F8" s="9">
        <v>1</v>
      </c>
      <c r="G8" s="9"/>
      <c r="H8" s="13">
        <v>1</v>
      </c>
    </row>
    <row r="9" spans="1:8" ht="25.5" x14ac:dyDescent="0.25">
      <c r="A9" s="14"/>
      <c r="B9" s="15"/>
      <c r="C9" s="6" t="s">
        <v>24</v>
      </c>
      <c r="D9" s="7" t="s">
        <v>25</v>
      </c>
      <c r="E9" s="12" t="s">
        <v>22</v>
      </c>
      <c r="F9" s="9">
        <v>1</v>
      </c>
      <c r="G9" s="9"/>
      <c r="H9" s="9">
        <v>1</v>
      </c>
    </row>
    <row r="10" spans="1:8" x14ac:dyDescent="0.25">
      <c r="A10" s="16"/>
      <c r="B10" s="17"/>
      <c r="C10" s="18"/>
      <c r="D10" s="19"/>
      <c r="E10" s="20"/>
      <c r="F10" s="21">
        <f>SUM(F3:F9)</f>
        <v>7</v>
      </c>
      <c r="G10" s="21"/>
      <c r="H10" s="22">
        <f>SUM(H3:H9)</f>
        <v>7</v>
      </c>
    </row>
    <row r="11" spans="1:8" ht="51" x14ac:dyDescent="0.25">
      <c r="A11" s="23" t="s">
        <v>26</v>
      </c>
      <c r="B11" s="24" t="s">
        <v>27</v>
      </c>
      <c r="C11" s="25" t="s">
        <v>24</v>
      </c>
      <c r="D11" s="26" t="s">
        <v>28</v>
      </c>
      <c r="E11" s="7" t="s">
        <v>29</v>
      </c>
      <c r="F11" s="27">
        <v>1</v>
      </c>
      <c r="G11" s="9" t="s">
        <v>12</v>
      </c>
      <c r="H11" s="27">
        <v>1</v>
      </c>
    </row>
    <row r="12" spans="1:8" ht="63.75" x14ac:dyDescent="0.25">
      <c r="A12" s="28"/>
      <c r="B12" s="29"/>
      <c r="C12" s="25" t="s">
        <v>24</v>
      </c>
      <c r="D12" s="26" t="s">
        <v>28</v>
      </c>
      <c r="E12" s="7" t="s">
        <v>30</v>
      </c>
      <c r="F12" s="27">
        <v>1</v>
      </c>
      <c r="G12" s="9" t="s">
        <v>12</v>
      </c>
      <c r="H12" s="27">
        <v>1</v>
      </c>
    </row>
    <row r="13" spans="1:8" x14ac:dyDescent="0.25">
      <c r="A13" s="30"/>
      <c r="B13" s="31"/>
      <c r="C13" s="18"/>
      <c r="D13" s="32"/>
      <c r="E13" s="33"/>
      <c r="F13" s="21">
        <f>F11+F12</f>
        <v>2</v>
      </c>
      <c r="G13" s="21"/>
      <c r="H13" s="21">
        <f>H11+H12</f>
        <v>2</v>
      </c>
    </row>
    <row r="14" spans="1:8" x14ac:dyDescent="0.25">
      <c r="A14" s="34" t="s">
        <v>31</v>
      </c>
      <c r="B14" s="35"/>
      <c r="C14" s="18"/>
      <c r="D14" s="20"/>
      <c r="E14" s="20"/>
      <c r="F14" s="36">
        <f>F10+F13</f>
        <v>9</v>
      </c>
      <c r="G14" s="36"/>
      <c r="H14" s="36">
        <f>H10+H13</f>
        <v>9</v>
      </c>
    </row>
    <row r="15" spans="1:8" ht="63.75" x14ac:dyDescent="0.25">
      <c r="A15" s="4" t="s">
        <v>32</v>
      </c>
      <c r="B15" s="37" t="s">
        <v>33</v>
      </c>
      <c r="C15" s="6" t="s">
        <v>34</v>
      </c>
      <c r="D15" s="26" t="s">
        <v>35</v>
      </c>
      <c r="E15" s="38" t="s">
        <v>36</v>
      </c>
      <c r="F15" s="39">
        <v>0.5</v>
      </c>
      <c r="G15" s="39" t="s">
        <v>37</v>
      </c>
      <c r="H15" s="39">
        <v>0.5</v>
      </c>
    </row>
    <row r="16" spans="1:8" ht="51" x14ac:dyDescent="0.25">
      <c r="A16" s="10"/>
      <c r="B16" s="40"/>
      <c r="C16" s="6" t="s">
        <v>34</v>
      </c>
      <c r="D16" s="26" t="s">
        <v>35</v>
      </c>
      <c r="E16" s="38" t="s">
        <v>22</v>
      </c>
      <c r="F16" s="39">
        <v>0.5</v>
      </c>
      <c r="G16" s="41" t="s">
        <v>38</v>
      </c>
      <c r="H16" s="39">
        <v>0.5</v>
      </c>
    </row>
    <row r="17" spans="1:8" ht="63.75" x14ac:dyDescent="0.25">
      <c r="A17" s="10"/>
      <c r="B17" s="40"/>
      <c r="C17" s="6" t="s">
        <v>39</v>
      </c>
      <c r="D17" s="7" t="s">
        <v>40</v>
      </c>
      <c r="E17" s="38" t="s">
        <v>41</v>
      </c>
      <c r="F17" s="39">
        <v>0.5</v>
      </c>
      <c r="G17" s="39" t="s">
        <v>12</v>
      </c>
      <c r="H17" s="39">
        <v>0.5</v>
      </c>
    </row>
    <row r="18" spans="1:8" ht="51" x14ac:dyDescent="0.25">
      <c r="A18" s="10"/>
      <c r="B18" s="40"/>
      <c r="C18" s="6" t="s">
        <v>39</v>
      </c>
      <c r="D18" s="7" t="s">
        <v>40</v>
      </c>
      <c r="E18" s="38" t="s">
        <v>42</v>
      </c>
      <c r="F18" s="39">
        <v>1</v>
      </c>
      <c r="G18" s="39" t="s">
        <v>12</v>
      </c>
      <c r="H18" s="39">
        <v>1</v>
      </c>
    </row>
    <row r="19" spans="1:8" ht="63.75" x14ac:dyDescent="0.25">
      <c r="A19" s="10"/>
      <c r="B19" s="40"/>
      <c r="C19" s="6"/>
      <c r="D19" s="42" t="s">
        <v>43</v>
      </c>
      <c r="E19" s="38" t="s">
        <v>44</v>
      </c>
      <c r="F19" s="43">
        <v>1</v>
      </c>
      <c r="G19" s="43" t="s">
        <v>12</v>
      </c>
      <c r="H19" s="43">
        <v>1</v>
      </c>
    </row>
    <row r="20" spans="1:8" ht="63.75" x14ac:dyDescent="0.25">
      <c r="A20" s="10"/>
      <c r="B20" s="40"/>
      <c r="C20" s="6"/>
      <c r="D20" s="42" t="s">
        <v>43</v>
      </c>
      <c r="E20" s="38" t="s">
        <v>45</v>
      </c>
      <c r="F20" s="43">
        <v>0.5</v>
      </c>
      <c r="G20" s="43" t="s">
        <v>46</v>
      </c>
      <c r="H20" s="43">
        <v>0.5</v>
      </c>
    </row>
    <row r="21" spans="1:8" ht="38.25" x14ac:dyDescent="0.25">
      <c r="A21" s="10"/>
      <c r="B21" s="40"/>
      <c r="C21" s="6" t="s">
        <v>24</v>
      </c>
      <c r="D21" s="7" t="s">
        <v>47</v>
      </c>
      <c r="E21" s="8" t="s">
        <v>48</v>
      </c>
      <c r="F21" s="9">
        <v>0.5</v>
      </c>
      <c r="G21" s="9" t="s">
        <v>46</v>
      </c>
      <c r="H21" s="44">
        <v>0.5</v>
      </c>
    </row>
    <row r="22" spans="1:8" ht="51" x14ac:dyDescent="0.25">
      <c r="A22" s="45"/>
      <c r="B22" s="46"/>
      <c r="C22" s="47" t="s">
        <v>24</v>
      </c>
      <c r="D22" s="48" t="s">
        <v>49</v>
      </c>
      <c r="E22" s="7" t="s">
        <v>50</v>
      </c>
      <c r="F22" s="49">
        <v>0.5</v>
      </c>
      <c r="G22" s="9" t="s">
        <v>46</v>
      </c>
      <c r="H22" s="27">
        <v>0.5</v>
      </c>
    </row>
    <row r="23" spans="1:8" x14ac:dyDescent="0.25">
      <c r="A23" s="34" t="s">
        <v>51</v>
      </c>
      <c r="B23" s="50"/>
      <c r="C23" s="18"/>
      <c r="D23" s="20"/>
      <c r="E23" s="20"/>
      <c r="F23" s="36">
        <f>SUM(F15:F22)</f>
        <v>5</v>
      </c>
      <c r="G23" s="36"/>
      <c r="H23" s="36">
        <f>SUM(H15:H22)</f>
        <v>5</v>
      </c>
    </row>
    <row r="24" spans="1:8" ht="89.25" x14ac:dyDescent="0.25">
      <c r="A24" s="4" t="s">
        <v>52</v>
      </c>
      <c r="B24" s="37" t="s">
        <v>53</v>
      </c>
      <c r="C24" s="6" t="s">
        <v>54</v>
      </c>
      <c r="D24" s="7" t="s">
        <v>55</v>
      </c>
      <c r="E24" s="8" t="s">
        <v>56</v>
      </c>
      <c r="F24" s="9">
        <v>0.5</v>
      </c>
      <c r="G24" s="9" t="s">
        <v>37</v>
      </c>
      <c r="H24" s="9">
        <v>0.5</v>
      </c>
    </row>
    <row r="25" spans="1:8" ht="76.5" x14ac:dyDescent="0.25">
      <c r="A25" s="10"/>
      <c r="B25" s="40"/>
      <c r="C25" s="6" t="s">
        <v>57</v>
      </c>
      <c r="D25" s="7" t="s">
        <v>58</v>
      </c>
      <c r="E25" s="8" t="s">
        <v>30</v>
      </c>
      <c r="F25" s="9">
        <v>0.5</v>
      </c>
      <c r="G25" s="9" t="s">
        <v>37</v>
      </c>
      <c r="H25" s="9">
        <v>0.5</v>
      </c>
    </row>
    <row r="26" spans="1:8" x14ac:dyDescent="0.25">
      <c r="A26" s="34" t="s">
        <v>59</v>
      </c>
      <c r="B26" s="50"/>
      <c r="C26" s="18"/>
      <c r="D26" s="20"/>
      <c r="E26" s="20"/>
      <c r="F26" s="36">
        <f>F24+F25</f>
        <v>1</v>
      </c>
      <c r="G26" s="36"/>
      <c r="H26" s="36">
        <f>SUM(H24:H25)</f>
        <v>1</v>
      </c>
    </row>
    <row r="27" spans="1:8" ht="51" x14ac:dyDescent="0.25">
      <c r="A27" s="51" t="s">
        <v>60</v>
      </c>
      <c r="B27" s="52" t="s">
        <v>61</v>
      </c>
      <c r="C27" s="6" t="s">
        <v>13</v>
      </c>
      <c r="D27" s="7" t="s">
        <v>62</v>
      </c>
      <c r="E27" s="12" t="s">
        <v>63</v>
      </c>
      <c r="F27" s="9">
        <v>1</v>
      </c>
      <c r="G27" s="9" t="s">
        <v>12</v>
      </c>
      <c r="H27" s="13">
        <v>1</v>
      </c>
    </row>
    <row r="28" spans="1:8" ht="63.75" x14ac:dyDescent="0.25">
      <c r="A28" s="51"/>
      <c r="B28" s="52"/>
      <c r="C28" s="6" t="s">
        <v>64</v>
      </c>
      <c r="D28" s="7" t="s">
        <v>65</v>
      </c>
      <c r="E28" s="53" t="s">
        <v>66</v>
      </c>
      <c r="F28" s="9">
        <v>1</v>
      </c>
      <c r="G28" s="9" t="s">
        <v>12</v>
      </c>
      <c r="H28" s="9">
        <v>1</v>
      </c>
    </row>
    <row r="29" spans="1:8" ht="51" x14ac:dyDescent="0.25">
      <c r="A29" s="51"/>
      <c r="B29" s="52"/>
      <c r="C29" s="6" t="s">
        <v>39</v>
      </c>
      <c r="D29" s="7" t="s">
        <v>67</v>
      </c>
      <c r="E29" s="12" t="s">
        <v>68</v>
      </c>
      <c r="F29" s="9">
        <v>1</v>
      </c>
      <c r="G29" s="9" t="s">
        <v>12</v>
      </c>
      <c r="H29" s="13">
        <v>1</v>
      </c>
    </row>
    <row r="30" spans="1:8" ht="51" x14ac:dyDescent="0.25">
      <c r="A30" s="51"/>
      <c r="B30" s="52"/>
      <c r="C30" s="6" t="s">
        <v>24</v>
      </c>
      <c r="D30" s="26" t="s">
        <v>69</v>
      </c>
      <c r="E30" s="12" t="s">
        <v>70</v>
      </c>
      <c r="F30" s="9">
        <v>1</v>
      </c>
      <c r="G30" s="9" t="s">
        <v>12</v>
      </c>
      <c r="H30" s="13">
        <v>1</v>
      </c>
    </row>
    <row r="31" spans="1:8" ht="51" x14ac:dyDescent="0.25">
      <c r="A31" s="51"/>
      <c r="B31" s="52"/>
      <c r="C31" s="6" t="s">
        <v>24</v>
      </c>
      <c r="D31" s="26" t="s">
        <v>69</v>
      </c>
      <c r="E31" s="54" t="s">
        <v>71</v>
      </c>
      <c r="F31" s="9">
        <v>1</v>
      </c>
      <c r="G31" s="9" t="s">
        <v>12</v>
      </c>
      <c r="H31" s="13">
        <v>1</v>
      </c>
    </row>
    <row r="32" spans="1:8" x14ac:dyDescent="0.25">
      <c r="A32" s="51"/>
      <c r="B32" s="52"/>
      <c r="C32" s="6" t="s">
        <v>24</v>
      </c>
      <c r="D32" s="26" t="s">
        <v>69</v>
      </c>
      <c r="E32" s="53" t="s">
        <v>22</v>
      </c>
      <c r="F32" s="9">
        <v>1</v>
      </c>
      <c r="G32" s="9"/>
      <c r="H32" s="9">
        <v>1</v>
      </c>
    </row>
    <row r="33" spans="1:8" x14ac:dyDescent="0.25">
      <c r="A33" s="55"/>
      <c r="B33" s="50"/>
      <c r="C33" s="18"/>
      <c r="D33" s="20"/>
      <c r="E33" s="20"/>
      <c r="F33" s="36">
        <f>SUM(F27:F32)</f>
        <v>6</v>
      </c>
      <c r="G33" s="36"/>
      <c r="H33" s="36">
        <f>SUM(H27:H32)</f>
        <v>6</v>
      </c>
    </row>
    <row r="34" spans="1:8" ht="38.25" x14ac:dyDescent="0.25">
      <c r="A34" s="56" t="s">
        <v>72</v>
      </c>
      <c r="B34" s="5" t="s">
        <v>73</v>
      </c>
      <c r="C34" s="6" t="s">
        <v>74</v>
      </c>
      <c r="D34" s="7" t="s">
        <v>75</v>
      </c>
      <c r="E34" s="12" t="s">
        <v>76</v>
      </c>
      <c r="F34" s="9">
        <v>1</v>
      </c>
      <c r="G34" s="9" t="s">
        <v>12</v>
      </c>
      <c r="H34" s="9">
        <v>1</v>
      </c>
    </row>
    <row r="35" spans="1:8" ht="25.5" x14ac:dyDescent="0.25">
      <c r="A35" s="57"/>
      <c r="B35" s="15"/>
      <c r="C35" s="6" t="s">
        <v>24</v>
      </c>
      <c r="D35" s="7" t="s">
        <v>77</v>
      </c>
      <c r="E35" s="12" t="s">
        <v>22</v>
      </c>
      <c r="F35" s="9">
        <v>1</v>
      </c>
      <c r="G35" s="9"/>
      <c r="H35" s="9">
        <v>1</v>
      </c>
    </row>
    <row r="36" spans="1:8" x14ac:dyDescent="0.25">
      <c r="A36" s="55"/>
      <c r="B36" s="50"/>
      <c r="C36" s="18"/>
      <c r="D36" s="20"/>
      <c r="E36" s="20"/>
      <c r="F36" s="36">
        <f>F34+F35</f>
        <v>2</v>
      </c>
      <c r="G36" s="36"/>
      <c r="H36" s="36">
        <f>H34+H35</f>
        <v>2</v>
      </c>
    </row>
    <row r="37" spans="1:8" x14ac:dyDescent="0.25">
      <c r="A37" s="58" t="s">
        <v>78</v>
      </c>
      <c r="B37" s="59"/>
      <c r="C37" s="18"/>
      <c r="D37" s="20"/>
      <c r="E37" s="20"/>
      <c r="F37" s="36">
        <f>F33+F36</f>
        <v>8</v>
      </c>
      <c r="G37" s="36"/>
      <c r="H37" s="36">
        <f>H33+H36</f>
        <v>8</v>
      </c>
    </row>
    <row r="38" spans="1:8" ht="51" x14ac:dyDescent="0.25">
      <c r="A38" s="60" t="s">
        <v>79</v>
      </c>
      <c r="B38" s="37" t="s">
        <v>80</v>
      </c>
      <c r="C38" s="6" t="s">
        <v>81</v>
      </c>
      <c r="D38" s="7" t="s">
        <v>82</v>
      </c>
      <c r="E38" s="12" t="s">
        <v>83</v>
      </c>
      <c r="F38" s="9">
        <v>1</v>
      </c>
      <c r="G38" s="9" t="s">
        <v>12</v>
      </c>
      <c r="H38" s="9">
        <v>1</v>
      </c>
    </row>
    <row r="39" spans="1:8" ht="76.5" x14ac:dyDescent="0.25">
      <c r="A39" s="61"/>
      <c r="B39" s="40"/>
      <c r="C39" s="6" t="s">
        <v>39</v>
      </c>
      <c r="D39" s="26" t="s">
        <v>84</v>
      </c>
      <c r="E39" s="62" t="s">
        <v>85</v>
      </c>
      <c r="F39" s="63">
        <v>1</v>
      </c>
      <c r="G39" s="9" t="s">
        <v>12</v>
      </c>
      <c r="H39" s="63">
        <v>1</v>
      </c>
    </row>
    <row r="40" spans="1:8" ht="63.75" x14ac:dyDescent="0.25">
      <c r="A40" s="46"/>
      <c r="B40" s="46"/>
      <c r="C40" s="47" t="s">
        <v>86</v>
      </c>
      <c r="D40" s="64" t="s">
        <v>87</v>
      </c>
      <c r="E40" s="8" t="s">
        <v>88</v>
      </c>
      <c r="F40" s="9">
        <v>1</v>
      </c>
      <c r="G40" s="9" t="s">
        <v>12</v>
      </c>
      <c r="H40" s="9">
        <v>1</v>
      </c>
    </row>
    <row r="41" spans="1:8" ht="76.5" x14ac:dyDescent="0.25">
      <c r="A41" s="46"/>
      <c r="B41" s="46"/>
      <c r="C41" s="47" t="s">
        <v>86</v>
      </c>
      <c r="D41" s="7" t="s">
        <v>89</v>
      </c>
      <c r="E41" s="8" t="s">
        <v>90</v>
      </c>
      <c r="F41" s="9">
        <v>1</v>
      </c>
      <c r="G41" s="9" t="s">
        <v>12</v>
      </c>
      <c r="H41" s="9">
        <v>1</v>
      </c>
    </row>
    <row r="42" spans="1:8" ht="76.5" x14ac:dyDescent="0.25">
      <c r="A42" s="65"/>
      <c r="B42" s="65"/>
      <c r="C42" s="47" t="s">
        <v>24</v>
      </c>
      <c r="D42" s="7" t="s">
        <v>91</v>
      </c>
      <c r="E42" s="8" t="s">
        <v>92</v>
      </c>
      <c r="F42" s="9">
        <v>0.5</v>
      </c>
      <c r="G42" s="9" t="s">
        <v>37</v>
      </c>
      <c r="H42" s="9">
        <v>0.5</v>
      </c>
    </row>
    <row r="43" spans="1:8" x14ac:dyDescent="0.25">
      <c r="A43" s="55"/>
      <c r="B43" s="50"/>
      <c r="C43" s="18"/>
      <c r="D43" s="20"/>
      <c r="E43" s="8"/>
      <c r="F43" s="36">
        <f>SUM(F38:F42)</f>
        <v>4.5</v>
      </c>
      <c r="G43" s="36"/>
      <c r="H43" s="36">
        <f>SUM(H38:H42)</f>
        <v>4.5</v>
      </c>
    </row>
    <row r="44" spans="1:8" ht="38.25" x14ac:dyDescent="0.25">
      <c r="A44" s="66" t="s">
        <v>93</v>
      </c>
      <c r="B44" s="67" t="s">
        <v>94</v>
      </c>
      <c r="C44" s="25" t="s">
        <v>54</v>
      </c>
      <c r="D44" s="26" t="s">
        <v>75</v>
      </c>
      <c r="E44" s="62" t="s">
        <v>48</v>
      </c>
      <c r="F44" s="68">
        <v>1</v>
      </c>
      <c r="G44" s="9" t="s">
        <v>12</v>
      </c>
      <c r="H44" s="68">
        <v>1</v>
      </c>
    </row>
    <row r="45" spans="1:8" ht="76.5" x14ac:dyDescent="0.25">
      <c r="A45" s="66"/>
      <c r="B45" s="67"/>
      <c r="C45" s="25" t="s">
        <v>39</v>
      </c>
      <c r="D45" s="7" t="s">
        <v>40</v>
      </c>
      <c r="E45" s="8" t="s">
        <v>95</v>
      </c>
      <c r="F45" s="44">
        <v>1</v>
      </c>
      <c r="G45" s="9" t="s">
        <v>12</v>
      </c>
      <c r="H45" s="44">
        <v>1</v>
      </c>
    </row>
    <row r="46" spans="1:8" x14ac:dyDescent="0.25">
      <c r="A46" s="55"/>
      <c r="B46" s="50"/>
      <c r="C46" s="18"/>
      <c r="D46" s="20"/>
      <c r="E46" s="8"/>
      <c r="F46" s="36">
        <f>SUM(F44:F45)</f>
        <v>2</v>
      </c>
      <c r="G46" s="36"/>
      <c r="H46" s="36">
        <f>SUM(H44:H45)</f>
        <v>2</v>
      </c>
    </row>
    <row r="47" spans="1:8" x14ac:dyDescent="0.25">
      <c r="A47" s="58" t="s">
        <v>96</v>
      </c>
      <c r="B47" s="59"/>
      <c r="C47" s="18"/>
      <c r="D47" s="20"/>
      <c r="E47" s="62"/>
      <c r="F47" s="36">
        <f>F43+F46</f>
        <v>6.5</v>
      </c>
      <c r="G47" s="36"/>
      <c r="H47" s="36">
        <f>H43+H46</f>
        <v>6.5</v>
      </c>
    </row>
    <row r="48" spans="1:8" ht="51" x14ac:dyDescent="0.25">
      <c r="A48" s="4" t="s">
        <v>97</v>
      </c>
      <c r="B48" s="37" t="s">
        <v>98</v>
      </c>
      <c r="C48" s="6" t="s">
        <v>54</v>
      </c>
      <c r="D48" s="7" t="s">
        <v>75</v>
      </c>
      <c r="E48" s="69" t="s">
        <v>99</v>
      </c>
      <c r="F48" s="9">
        <v>1</v>
      </c>
      <c r="G48" s="9" t="s">
        <v>12</v>
      </c>
      <c r="H48" s="9">
        <v>1</v>
      </c>
    </row>
    <row r="49" spans="1:8" ht="63.75" x14ac:dyDescent="0.25">
      <c r="A49" s="70"/>
      <c r="B49" s="71"/>
      <c r="C49" s="6" t="s">
        <v>39</v>
      </c>
      <c r="D49" s="7" t="s">
        <v>100</v>
      </c>
      <c r="E49" s="8" t="s">
        <v>101</v>
      </c>
      <c r="F49" s="9">
        <v>1</v>
      </c>
      <c r="G49" s="9" t="s">
        <v>12</v>
      </c>
      <c r="H49" s="9">
        <v>1</v>
      </c>
    </row>
    <row r="50" spans="1:8" x14ac:dyDescent="0.25">
      <c r="A50" s="72" t="s">
        <v>102</v>
      </c>
      <c r="B50" s="50"/>
      <c r="C50" s="18"/>
      <c r="D50" s="20"/>
      <c r="E50" s="8"/>
      <c r="F50" s="36">
        <f>SUM(F48:F49)</f>
        <v>2</v>
      </c>
      <c r="G50" s="36"/>
      <c r="H50" s="36">
        <f>SUM(H48:H49)</f>
        <v>2</v>
      </c>
    </row>
    <row r="51" spans="1:8" ht="51" x14ac:dyDescent="0.25">
      <c r="A51" s="73" t="s">
        <v>103</v>
      </c>
      <c r="B51" s="24" t="s">
        <v>104</v>
      </c>
      <c r="C51" s="25" t="s">
        <v>105</v>
      </c>
      <c r="D51" s="74" t="s">
        <v>75</v>
      </c>
      <c r="E51" s="8" t="s">
        <v>106</v>
      </c>
      <c r="F51" s="27">
        <v>1</v>
      </c>
      <c r="G51" s="27" t="s">
        <v>12</v>
      </c>
      <c r="H51" s="27">
        <v>1</v>
      </c>
    </row>
    <row r="52" spans="1:8" ht="63.75" x14ac:dyDescent="0.25">
      <c r="A52" s="75"/>
      <c r="B52" s="76"/>
      <c r="C52" s="25" t="s">
        <v>24</v>
      </c>
      <c r="D52" s="7" t="s">
        <v>107</v>
      </c>
      <c r="E52" s="8" t="s">
        <v>108</v>
      </c>
      <c r="F52" s="27">
        <v>1</v>
      </c>
      <c r="G52" s="27" t="s">
        <v>12</v>
      </c>
      <c r="H52" s="27">
        <v>1</v>
      </c>
    </row>
    <row r="53" spans="1:8" ht="63.75" x14ac:dyDescent="0.25">
      <c r="A53" s="75"/>
      <c r="B53" s="76"/>
      <c r="C53" s="25" t="s">
        <v>24</v>
      </c>
      <c r="D53" s="26" t="s">
        <v>109</v>
      </c>
      <c r="E53" s="8" t="s">
        <v>110</v>
      </c>
      <c r="F53" s="27">
        <v>0.25</v>
      </c>
      <c r="G53" s="27" t="s">
        <v>46</v>
      </c>
      <c r="H53" s="27">
        <v>0.25</v>
      </c>
    </row>
    <row r="54" spans="1:8" ht="89.25" x14ac:dyDescent="0.25">
      <c r="A54" s="77"/>
      <c r="B54" s="29"/>
      <c r="C54" s="25" t="s">
        <v>24</v>
      </c>
      <c r="D54" s="26" t="s">
        <v>109</v>
      </c>
      <c r="E54" s="8" t="s">
        <v>111</v>
      </c>
      <c r="F54" s="27">
        <v>1</v>
      </c>
      <c r="G54" s="27" t="s">
        <v>12</v>
      </c>
      <c r="H54" s="27">
        <v>1</v>
      </c>
    </row>
    <row r="55" spans="1:8" x14ac:dyDescent="0.25">
      <c r="A55" s="72" t="s">
        <v>112</v>
      </c>
      <c r="B55" s="50"/>
      <c r="C55" s="18"/>
      <c r="D55" s="20"/>
      <c r="E55" s="8"/>
      <c r="F55" s="36">
        <f>SUM(F51:F54)</f>
        <v>3.25</v>
      </c>
      <c r="G55" s="36"/>
      <c r="H55" s="36">
        <f>SUM(H51:H54)</f>
        <v>3.25</v>
      </c>
    </row>
    <row r="56" spans="1:8" ht="51" x14ac:dyDescent="0.25">
      <c r="A56" s="60">
        <v>8</v>
      </c>
      <c r="B56" s="5" t="s">
        <v>113</v>
      </c>
      <c r="C56" s="6" t="s">
        <v>81</v>
      </c>
      <c r="D56" s="7" t="s">
        <v>114</v>
      </c>
      <c r="E56" s="8" t="s">
        <v>115</v>
      </c>
      <c r="F56" s="9">
        <v>1</v>
      </c>
      <c r="G56" s="9" t="s">
        <v>12</v>
      </c>
      <c r="H56" s="9">
        <v>1</v>
      </c>
    </row>
    <row r="57" spans="1:8" ht="63.75" x14ac:dyDescent="0.25">
      <c r="A57" s="61"/>
      <c r="B57" s="11"/>
      <c r="C57" s="6" t="s">
        <v>24</v>
      </c>
      <c r="D57" s="7" t="s">
        <v>116</v>
      </c>
      <c r="E57" s="12" t="s">
        <v>117</v>
      </c>
      <c r="F57" s="9">
        <v>1</v>
      </c>
      <c r="G57" s="9" t="s">
        <v>12</v>
      </c>
      <c r="H57" s="9">
        <v>1</v>
      </c>
    </row>
    <row r="58" spans="1:8" x14ac:dyDescent="0.25">
      <c r="A58" s="78" t="s">
        <v>118</v>
      </c>
      <c r="B58" s="50"/>
      <c r="C58" s="18"/>
      <c r="D58" s="20"/>
      <c r="E58" s="20"/>
      <c r="F58" s="36">
        <f>SUM(F56:F57)</f>
        <v>2</v>
      </c>
      <c r="G58" s="36"/>
      <c r="H58" s="36">
        <f>SUM(H56:H57)</f>
        <v>2</v>
      </c>
    </row>
    <row r="59" spans="1:8" ht="165.75" x14ac:dyDescent="0.25">
      <c r="A59" s="79" t="s">
        <v>119</v>
      </c>
      <c r="B59" s="50" t="s">
        <v>120</v>
      </c>
      <c r="C59" s="18" t="s">
        <v>16</v>
      </c>
      <c r="D59" s="20" t="s">
        <v>121</v>
      </c>
      <c r="E59" s="8" t="s">
        <v>122</v>
      </c>
      <c r="F59" s="80">
        <v>1</v>
      </c>
      <c r="G59" s="80" t="s">
        <v>12</v>
      </c>
      <c r="H59" s="80">
        <v>1</v>
      </c>
    </row>
    <row r="60" spans="1:8" ht="102" x14ac:dyDescent="0.25">
      <c r="A60" s="81" t="s">
        <v>123</v>
      </c>
      <c r="B60" s="82" t="s">
        <v>124</v>
      </c>
      <c r="C60" s="6"/>
      <c r="D60" s="7"/>
      <c r="E60" s="8"/>
      <c r="F60" s="7"/>
      <c r="G60" s="7"/>
      <c r="H60" s="7"/>
    </row>
    <row r="61" spans="1:8" ht="76.5" x14ac:dyDescent="0.25">
      <c r="A61" s="83" t="s">
        <v>125</v>
      </c>
      <c r="B61" s="84" t="s">
        <v>126</v>
      </c>
      <c r="C61" s="6" t="s">
        <v>127</v>
      </c>
      <c r="D61" s="48" t="s">
        <v>128</v>
      </c>
      <c r="E61" s="85" t="s">
        <v>129</v>
      </c>
      <c r="F61" s="49">
        <v>1</v>
      </c>
      <c r="G61" s="49" t="s">
        <v>12</v>
      </c>
      <c r="H61" s="49">
        <v>1</v>
      </c>
    </row>
    <row r="62" spans="1:8" ht="51" x14ac:dyDescent="0.25">
      <c r="A62" s="86"/>
      <c r="B62" s="87"/>
      <c r="C62" s="6" t="s">
        <v>130</v>
      </c>
      <c r="D62" s="26" t="s">
        <v>131</v>
      </c>
      <c r="E62" s="8" t="s">
        <v>22</v>
      </c>
      <c r="F62" s="27">
        <v>1</v>
      </c>
      <c r="G62" s="49"/>
      <c r="H62" s="27">
        <v>1</v>
      </c>
    </row>
    <row r="63" spans="1:8" ht="25.5" x14ac:dyDescent="0.25">
      <c r="A63" s="86"/>
      <c r="B63" s="87"/>
      <c r="C63" s="6" t="s">
        <v>132</v>
      </c>
      <c r="D63" s="26" t="s">
        <v>133</v>
      </c>
      <c r="E63" s="88" t="s">
        <v>134</v>
      </c>
      <c r="F63" s="49">
        <v>0.5</v>
      </c>
      <c r="G63" s="49" t="s">
        <v>46</v>
      </c>
      <c r="H63" s="49">
        <v>0.5</v>
      </c>
    </row>
    <row r="64" spans="1:8" ht="51" x14ac:dyDescent="0.25">
      <c r="A64" s="86"/>
      <c r="B64" s="87"/>
      <c r="C64" s="6" t="s">
        <v>132</v>
      </c>
      <c r="D64" s="26" t="s">
        <v>135</v>
      </c>
      <c r="E64" s="8" t="s">
        <v>136</v>
      </c>
      <c r="F64" s="27">
        <v>1</v>
      </c>
      <c r="G64" s="27" t="s">
        <v>12</v>
      </c>
      <c r="H64" s="27">
        <v>1</v>
      </c>
    </row>
    <row r="65" spans="1:8" ht="63.75" x14ac:dyDescent="0.25">
      <c r="A65" s="89"/>
      <c r="B65" s="71"/>
      <c r="C65" s="6" t="s">
        <v>132</v>
      </c>
      <c r="D65" s="26" t="s">
        <v>135</v>
      </c>
      <c r="E65" s="8" t="s">
        <v>137</v>
      </c>
      <c r="F65" s="27">
        <v>1</v>
      </c>
      <c r="G65" s="90" t="s">
        <v>12</v>
      </c>
      <c r="H65" s="27">
        <v>1</v>
      </c>
    </row>
    <row r="66" spans="1:8" ht="51" x14ac:dyDescent="0.25">
      <c r="A66" s="83" t="s">
        <v>138</v>
      </c>
      <c r="B66" s="91" t="s">
        <v>139</v>
      </c>
      <c r="C66" s="6" t="s">
        <v>130</v>
      </c>
      <c r="D66" s="7" t="s">
        <v>131</v>
      </c>
      <c r="E66" s="8" t="s">
        <v>140</v>
      </c>
      <c r="F66" s="27">
        <v>1</v>
      </c>
      <c r="G66" s="49" t="s">
        <v>12</v>
      </c>
      <c r="H66" s="27">
        <v>1</v>
      </c>
    </row>
    <row r="67" spans="1:8" ht="25.5" x14ac:dyDescent="0.25">
      <c r="A67" s="89"/>
      <c r="B67" s="92"/>
      <c r="C67" s="6" t="s">
        <v>132</v>
      </c>
      <c r="D67" s="26" t="s">
        <v>135</v>
      </c>
      <c r="E67" s="8" t="s">
        <v>141</v>
      </c>
      <c r="F67" s="49">
        <v>1</v>
      </c>
      <c r="G67" s="49" t="s">
        <v>12</v>
      </c>
      <c r="H67" s="27">
        <v>1</v>
      </c>
    </row>
    <row r="68" spans="1:8" ht="89.25" x14ac:dyDescent="0.25">
      <c r="A68" s="83" t="s">
        <v>142</v>
      </c>
      <c r="B68" s="91" t="s">
        <v>143</v>
      </c>
      <c r="C68" s="6" t="s">
        <v>130</v>
      </c>
      <c r="D68" s="7" t="s">
        <v>144</v>
      </c>
      <c r="E68" s="8" t="s">
        <v>140</v>
      </c>
      <c r="F68" s="9">
        <v>0.5</v>
      </c>
      <c r="G68" s="63" t="s">
        <v>46</v>
      </c>
      <c r="H68" s="9">
        <v>0.5</v>
      </c>
    </row>
    <row r="69" spans="1:8" ht="51" x14ac:dyDescent="0.25">
      <c r="A69" s="89"/>
      <c r="B69" s="92"/>
      <c r="C69" s="6" t="s">
        <v>132</v>
      </c>
      <c r="D69" s="7" t="s">
        <v>135</v>
      </c>
      <c r="E69" s="8" t="s">
        <v>136</v>
      </c>
      <c r="F69" s="9">
        <v>0.5</v>
      </c>
      <c r="G69" s="63" t="s">
        <v>46</v>
      </c>
      <c r="H69" s="9">
        <v>0.5</v>
      </c>
    </row>
    <row r="70" spans="1:8" x14ac:dyDescent="0.25">
      <c r="A70" s="16"/>
      <c r="B70" s="50"/>
      <c r="C70" s="18"/>
      <c r="D70" s="35"/>
      <c r="E70" s="93"/>
      <c r="F70" s="36">
        <f>SUM(F61:F69)</f>
        <v>7.5</v>
      </c>
      <c r="G70" s="36"/>
      <c r="H70" s="36">
        <f>SUM(H61:H69)</f>
        <v>7.5</v>
      </c>
    </row>
    <row r="71" spans="1:8" ht="102" x14ac:dyDescent="0.25">
      <c r="A71" s="81" t="s">
        <v>145</v>
      </c>
      <c r="B71" s="82" t="s">
        <v>146</v>
      </c>
      <c r="C71" s="6" t="s">
        <v>147</v>
      </c>
      <c r="D71" s="7" t="s">
        <v>148</v>
      </c>
      <c r="E71" s="8" t="s">
        <v>149</v>
      </c>
      <c r="F71" s="27">
        <v>1</v>
      </c>
      <c r="G71" s="49" t="s">
        <v>12</v>
      </c>
      <c r="H71" s="27">
        <v>1</v>
      </c>
    </row>
    <row r="72" spans="1:8" ht="76.5" x14ac:dyDescent="0.25">
      <c r="A72" s="94" t="s">
        <v>150</v>
      </c>
      <c r="B72" s="95" t="s">
        <v>151</v>
      </c>
      <c r="C72" s="6" t="s">
        <v>130</v>
      </c>
      <c r="D72" s="7" t="s">
        <v>131</v>
      </c>
      <c r="E72" s="8" t="s">
        <v>152</v>
      </c>
      <c r="F72" s="27">
        <v>1</v>
      </c>
      <c r="G72" s="49" t="s">
        <v>12</v>
      </c>
      <c r="H72" s="27">
        <v>1</v>
      </c>
    </row>
    <row r="73" spans="1:8" ht="51" x14ac:dyDescent="0.25">
      <c r="A73" s="96"/>
      <c r="B73" s="97"/>
      <c r="C73" s="98" t="s">
        <v>132</v>
      </c>
      <c r="D73" s="26" t="s">
        <v>135</v>
      </c>
      <c r="E73" s="8" t="s">
        <v>153</v>
      </c>
      <c r="F73" s="49">
        <v>1</v>
      </c>
      <c r="G73" s="49" t="s">
        <v>12</v>
      </c>
      <c r="H73" s="27">
        <v>1</v>
      </c>
    </row>
    <row r="74" spans="1:8" ht="51" x14ac:dyDescent="0.25">
      <c r="A74" s="94" t="s">
        <v>154</v>
      </c>
      <c r="B74" s="99" t="s">
        <v>155</v>
      </c>
      <c r="C74" s="6" t="s">
        <v>127</v>
      </c>
      <c r="D74" s="7" t="s">
        <v>128</v>
      </c>
      <c r="E74" s="8" t="s">
        <v>156</v>
      </c>
      <c r="F74" s="27">
        <v>1</v>
      </c>
      <c r="G74" s="49" t="s">
        <v>12</v>
      </c>
      <c r="H74" s="27">
        <v>1</v>
      </c>
    </row>
    <row r="75" spans="1:8" ht="76.5" x14ac:dyDescent="0.25">
      <c r="A75" s="96"/>
      <c r="B75" s="100"/>
      <c r="C75" s="98" t="s">
        <v>132</v>
      </c>
      <c r="D75" s="26" t="s">
        <v>135</v>
      </c>
      <c r="E75" s="8" t="s">
        <v>157</v>
      </c>
      <c r="F75" s="27">
        <v>1</v>
      </c>
      <c r="G75" s="27" t="s">
        <v>12</v>
      </c>
      <c r="H75" s="27">
        <v>1</v>
      </c>
    </row>
    <row r="76" spans="1:8" ht="51" x14ac:dyDescent="0.25">
      <c r="A76" s="96"/>
      <c r="B76" s="100"/>
      <c r="C76" s="98" t="s">
        <v>132</v>
      </c>
      <c r="D76" s="26" t="s">
        <v>135</v>
      </c>
      <c r="E76" s="8" t="s">
        <v>158</v>
      </c>
      <c r="F76" s="27">
        <v>0.5</v>
      </c>
      <c r="G76" s="27" t="s">
        <v>12</v>
      </c>
      <c r="H76" s="27">
        <v>0.5</v>
      </c>
    </row>
    <row r="77" spans="1:8" ht="25.5" x14ac:dyDescent="0.25">
      <c r="A77" s="96"/>
      <c r="B77" s="100"/>
      <c r="C77" s="98" t="s">
        <v>132</v>
      </c>
      <c r="D77" s="26" t="s">
        <v>135</v>
      </c>
      <c r="E77" s="7" t="s">
        <v>22</v>
      </c>
      <c r="F77" s="27">
        <v>0.5</v>
      </c>
      <c r="G77" s="49"/>
      <c r="H77" s="27">
        <v>0.5</v>
      </c>
    </row>
    <row r="78" spans="1:8" ht="63.75" x14ac:dyDescent="0.25">
      <c r="A78" s="101"/>
      <c r="B78" s="65"/>
      <c r="C78" s="47" t="s">
        <v>123</v>
      </c>
      <c r="D78" s="7" t="s">
        <v>159</v>
      </c>
      <c r="E78" s="12" t="s">
        <v>160</v>
      </c>
      <c r="F78" s="27">
        <v>1</v>
      </c>
      <c r="G78" s="63" t="s">
        <v>12</v>
      </c>
      <c r="H78" s="9">
        <v>1</v>
      </c>
    </row>
    <row r="79" spans="1:8" x14ac:dyDescent="0.25">
      <c r="A79" s="16"/>
      <c r="B79" s="50"/>
      <c r="C79" s="18"/>
      <c r="D79" s="35"/>
      <c r="E79" s="35"/>
      <c r="F79" s="36">
        <f>SUM(F71:F78)</f>
        <v>7</v>
      </c>
      <c r="G79" s="36"/>
      <c r="H79" s="36">
        <f>SUM(H71:H78)</f>
        <v>7</v>
      </c>
    </row>
    <row r="80" spans="1:8" ht="102" x14ac:dyDescent="0.25">
      <c r="A80" s="81" t="s">
        <v>161</v>
      </c>
      <c r="B80" s="82" t="s">
        <v>162</v>
      </c>
      <c r="C80" s="6" t="s">
        <v>147</v>
      </c>
      <c r="D80" s="7" t="s">
        <v>148</v>
      </c>
      <c r="E80" s="7" t="s">
        <v>22</v>
      </c>
      <c r="F80" s="27">
        <v>0.5</v>
      </c>
      <c r="G80" s="49"/>
      <c r="H80" s="27">
        <v>0.5</v>
      </c>
    </row>
    <row r="81" spans="1:8" ht="102" x14ac:dyDescent="0.25">
      <c r="A81" s="102" t="s">
        <v>163</v>
      </c>
      <c r="B81" s="103" t="s">
        <v>164</v>
      </c>
      <c r="C81" s="104" t="s">
        <v>147</v>
      </c>
      <c r="D81" s="26" t="s">
        <v>165</v>
      </c>
      <c r="E81" s="38" t="s">
        <v>166</v>
      </c>
      <c r="F81" s="27">
        <v>0.5</v>
      </c>
      <c r="G81" s="27"/>
      <c r="H81" s="27">
        <v>0.5</v>
      </c>
    </row>
    <row r="82" spans="1:8" ht="63.75" x14ac:dyDescent="0.25">
      <c r="A82" s="102"/>
      <c r="B82" s="103"/>
      <c r="C82" s="105"/>
      <c r="D82" s="26" t="s">
        <v>167</v>
      </c>
      <c r="E82" s="8" t="s">
        <v>168</v>
      </c>
      <c r="F82" s="27">
        <v>1</v>
      </c>
      <c r="G82" s="90" t="s">
        <v>12</v>
      </c>
      <c r="H82" s="27">
        <v>1</v>
      </c>
    </row>
    <row r="83" spans="1:8" ht="51" x14ac:dyDescent="0.25">
      <c r="A83" s="102"/>
      <c r="B83" s="103"/>
      <c r="C83" s="98" t="s">
        <v>127</v>
      </c>
      <c r="D83" s="26" t="s">
        <v>128</v>
      </c>
      <c r="E83" s="8" t="s">
        <v>169</v>
      </c>
      <c r="F83" s="27">
        <v>1</v>
      </c>
      <c r="G83" s="27" t="s">
        <v>12</v>
      </c>
      <c r="H83" s="27">
        <v>1</v>
      </c>
    </row>
    <row r="84" spans="1:8" ht="63.75" x14ac:dyDescent="0.25">
      <c r="A84" s="102"/>
      <c r="B84" s="103"/>
      <c r="C84" s="98" t="s">
        <v>127</v>
      </c>
      <c r="D84" s="26" t="s">
        <v>128</v>
      </c>
      <c r="E84" s="8" t="s">
        <v>170</v>
      </c>
      <c r="F84" s="27">
        <v>1</v>
      </c>
      <c r="G84" s="90" t="s">
        <v>12</v>
      </c>
      <c r="H84" s="27">
        <v>1</v>
      </c>
    </row>
    <row r="85" spans="1:8" ht="51" x14ac:dyDescent="0.25">
      <c r="A85" s="102"/>
      <c r="B85" s="103"/>
      <c r="C85" s="6" t="s">
        <v>130</v>
      </c>
      <c r="D85" s="7" t="s">
        <v>131</v>
      </c>
      <c r="E85" s="8" t="s">
        <v>171</v>
      </c>
      <c r="F85" s="27">
        <v>1</v>
      </c>
      <c r="G85" s="49" t="s">
        <v>12</v>
      </c>
      <c r="H85" s="27">
        <v>1</v>
      </c>
    </row>
    <row r="86" spans="1:8" ht="63.75" x14ac:dyDescent="0.25">
      <c r="A86" s="102"/>
      <c r="B86" s="103"/>
      <c r="C86" s="98" t="s">
        <v>132</v>
      </c>
      <c r="D86" s="26" t="s">
        <v>135</v>
      </c>
      <c r="E86" s="8" t="s">
        <v>172</v>
      </c>
      <c r="F86" s="49">
        <v>1</v>
      </c>
      <c r="G86" s="49" t="s">
        <v>12</v>
      </c>
      <c r="H86" s="49">
        <v>1</v>
      </c>
    </row>
    <row r="87" spans="1:8" ht="63.75" x14ac:dyDescent="0.25">
      <c r="A87" s="102"/>
      <c r="B87" s="103"/>
      <c r="C87" s="98" t="s">
        <v>132</v>
      </c>
      <c r="D87" s="26" t="s">
        <v>135</v>
      </c>
      <c r="E87" s="85" t="s">
        <v>173</v>
      </c>
      <c r="F87" s="49">
        <v>1</v>
      </c>
      <c r="G87" s="106" t="s">
        <v>12</v>
      </c>
      <c r="H87" s="49">
        <v>1</v>
      </c>
    </row>
    <row r="88" spans="1:8" ht="89.25" x14ac:dyDescent="0.25">
      <c r="A88" s="86" t="s">
        <v>174</v>
      </c>
      <c r="B88" s="91" t="s">
        <v>175</v>
      </c>
      <c r="C88" s="6" t="s">
        <v>127</v>
      </c>
      <c r="D88" s="7" t="s">
        <v>176</v>
      </c>
      <c r="E88" s="8" t="s">
        <v>177</v>
      </c>
      <c r="F88" s="9">
        <v>1</v>
      </c>
      <c r="G88" s="63" t="s">
        <v>12</v>
      </c>
      <c r="H88" s="9">
        <v>1</v>
      </c>
    </row>
    <row r="89" spans="1:8" ht="51" x14ac:dyDescent="0.25">
      <c r="A89" s="86"/>
      <c r="B89" s="107"/>
      <c r="C89" s="6" t="s">
        <v>130</v>
      </c>
      <c r="D89" s="7" t="s">
        <v>131</v>
      </c>
      <c r="E89" s="8" t="s">
        <v>178</v>
      </c>
      <c r="F89" s="9">
        <v>1</v>
      </c>
      <c r="G89" s="63" t="s">
        <v>12</v>
      </c>
      <c r="H89" s="27">
        <v>1</v>
      </c>
    </row>
    <row r="90" spans="1:8" ht="51" x14ac:dyDescent="0.25">
      <c r="A90" s="86"/>
      <c r="B90" s="92"/>
      <c r="C90" s="6" t="s">
        <v>132</v>
      </c>
      <c r="D90" s="48" t="s">
        <v>135</v>
      </c>
      <c r="E90" s="8" t="s">
        <v>179</v>
      </c>
      <c r="F90" s="63">
        <v>1</v>
      </c>
      <c r="G90" s="63" t="s">
        <v>12</v>
      </c>
      <c r="H90" s="27">
        <v>1</v>
      </c>
    </row>
    <row r="91" spans="1:8" x14ac:dyDescent="0.25">
      <c r="A91" s="16"/>
      <c r="B91" s="50"/>
      <c r="C91" s="18"/>
      <c r="D91" s="35"/>
      <c r="E91" s="93"/>
      <c r="F91" s="36">
        <f>SUM(F80:F90)</f>
        <v>10</v>
      </c>
      <c r="G91" s="36"/>
      <c r="H91" s="36">
        <f>SUM(H80:H90)</f>
        <v>10</v>
      </c>
    </row>
    <row r="92" spans="1:8" ht="89.25" x14ac:dyDescent="0.25">
      <c r="A92" s="81" t="s">
        <v>180</v>
      </c>
      <c r="B92" s="108" t="s">
        <v>181</v>
      </c>
      <c r="C92" s="6" t="s">
        <v>147</v>
      </c>
      <c r="D92" s="7" t="s">
        <v>148</v>
      </c>
      <c r="E92" s="8" t="s">
        <v>182</v>
      </c>
      <c r="F92" s="9">
        <v>1</v>
      </c>
      <c r="G92" s="63" t="s">
        <v>12</v>
      </c>
      <c r="H92" s="9">
        <v>1</v>
      </c>
    </row>
    <row r="93" spans="1:8" ht="102" x14ac:dyDescent="0.25">
      <c r="A93" s="102" t="s">
        <v>183</v>
      </c>
      <c r="B93" s="103" t="s">
        <v>184</v>
      </c>
      <c r="C93" s="6" t="s">
        <v>185</v>
      </c>
      <c r="D93" s="7" t="s">
        <v>186</v>
      </c>
      <c r="E93" s="8" t="s">
        <v>187</v>
      </c>
      <c r="F93" s="9">
        <v>1</v>
      </c>
      <c r="G93" s="63" t="s">
        <v>12</v>
      </c>
      <c r="H93" s="9">
        <v>1</v>
      </c>
    </row>
    <row r="94" spans="1:8" ht="51" x14ac:dyDescent="0.25">
      <c r="A94" s="102"/>
      <c r="B94" s="103"/>
      <c r="C94" s="6" t="s">
        <v>147</v>
      </c>
      <c r="D94" s="7" t="s">
        <v>167</v>
      </c>
      <c r="E94" s="8" t="s">
        <v>22</v>
      </c>
      <c r="F94" s="9">
        <v>0.5</v>
      </c>
      <c r="G94" s="9" t="s">
        <v>188</v>
      </c>
      <c r="H94" s="9">
        <v>0.5</v>
      </c>
    </row>
    <row r="95" spans="1:8" ht="102" x14ac:dyDescent="0.25">
      <c r="A95" s="102" t="s">
        <v>189</v>
      </c>
      <c r="B95" s="103" t="s">
        <v>190</v>
      </c>
      <c r="C95" s="98" t="s">
        <v>185</v>
      </c>
      <c r="D95" s="26" t="s">
        <v>186</v>
      </c>
      <c r="E95" s="8" t="s">
        <v>191</v>
      </c>
      <c r="F95" s="27">
        <v>0.5</v>
      </c>
      <c r="G95" s="9" t="s">
        <v>188</v>
      </c>
      <c r="H95" s="27">
        <v>0.5</v>
      </c>
    </row>
    <row r="96" spans="1:8" ht="102" x14ac:dyDescent="0.25">
      <c r="A96" s="102"/>
      <c r="B96" s="103"/>
      <c r="C96" s="98" t="s">
        <v>185</v>
      </c>
      <c r="D96" s="26" t="s">
        <v>186</v>
      </c>
      <c r="E96" s="8" t="s">
        <v>22</v>
      </c>
      <c r="F96" s="27">
        <v>0.5</v>
      </c>
      <c r="G96" s="109"/>
      <c r="H96" s="27">
        <v>0.5</v>
      </c>
    </row>
    <row r="97" spans="1:8" ht="51" x14ac:dyDescent="0.25">
      <c r="A97" s="102"/>
      <c r="B97" s="103"/>
      <c r="C97" s="6" t="s">
        <v>127</v>
      </c>
      <c r="D97" s="7" t="s">
        <v>128</v>
      </c>
      <c r="E97" s="8" t="s">
        <v>192</v>
      </c>
      <c r="F97" s="9">
        <v>0.5</v>
      </c>
      <c r="G97" s="63" t="s">
        <v>46</v>
      </c>
      <c r="H97" s="27">
        <v>0.5</v>
      </c>
    </row>
    <row r="98" spans="1:8" ht="51" x14ac:dyDescent="0.25">
      <c r="A98" s="102"/>
      <c r="B98" s="103"/>
      <c r="C98" s="6" t="s">
        <v>193</v>
      </c>
      <c r="D98" s="7" t="s">
        <v>194</v>
      </c>
      <c r="E98" s="8" t="s">
        <v>195</v>
      </c>
      <c r="F98" s="9">
        <v>1</v>
      </c>
      <c r="G98" s="63" t="s">
        <v>12</v>
      </c>
      <c r="H98" s="9">
        <v>1</v>
      </c>
    </row>
    <row r="99" spans="1:8" ht="51" x14ac:dyDescent="0.25">
      <c r="A99" s="102"/>
      <c r="B99" s="103"/>
      <c r="C99" s="6" t="s">
        <v>132</v>
      </c>
      <c r="D99" s="7" t="s">
        <v>135</v>
      </c>
      <c r="E99" s="12" t="s">
        <v>196</v>
      </c>
      <c r="F99" s="9">
        <v>1</v>
      </c>
      <c r="G99" s="63" t="s">
        <v>12</v>
      </c>
      <c r="H99" s="9">
        <v>1</v>
      </c>
    </row>
    <row r="100" spans="1:8" ht="63.75" x14ac:dyDescent="0.25">
      <c r="A100" s="102" t="s">
        <v>197</v>
      </c>
      <c r="B100" s="103" t="s">
        <v>198</v>
      </c>
      <c r="C100" s="98" t="s">
        <v>185</v>
      </c>
      <c r="D100" s="26" t="s">
        <v>199</v>
      </c>
      <c r="E100" s="8" t="s">
        <v>200</v>
      </c>
      <c r="F100" s="9">
        <v>0.5</v>
      </c>
      <c r="G100" s="63" t="s">
        <v>12</v>
      </c>
      <c r="H100" s="9">
        <v>0.5</v>
      </c>
    </row>
    <row r="101" spans="1:8" ht="51" x14ac:dyDescent="0.25">
      <c r="A101" s="102"/>
      <c r="B101" s="103"/>
      <c r="C101" s="6" t="s">
        <v>185</v>
      </c>
      <c r="D101" s="7" t="s">
        <v>199</v>
      </c>
      <c r="E101" s="8" t="s">
        <v>22</v>
      </c>
      <c r="F101" s="9">
        <v>0.5</v>
      </c>
      <c r="G101" s="9"/>
      <c r="H101" s="9">
        <v>0.5</v>
      </c>
    </row>
    <row r="102" spans="1:8" ht="102" x14ac:dyDescent="0.25">
      <c r="A102" s="102" t="s">
        <v>201</v>
      </c>
      <c r="B102" s="103" t="s">
        <v>202</v>
      </c>
      <c r="C102" s="6" t="s">
        <v>185</v>
      </c>
      <c r="D102" s="7" t="s">
        <v>203</v>
      </c>
      <c r="E102" s="8" t="s">
        <v>204</v>
      </c>
      <c r="F102" s="9">
        <v>1</v>
      </c>
      <c r="G102" s="63" t="s">
        <v>12</v>
      </c>
      <c r="H102" s="9">
        <v>1</v>
      </c>
    </row>
    <row r="103" spans="1:8" ht="51" x14ac:dyDescent="0.25">
      <c r="A103" s="102"/>
      <c r="B103" s="103"/>
      <c r="C103" s="6" t="s">
        <v>127</v>
      </c>
      <c r="D103" s="7" t="s">
        <v>128</v>
      </c>
      <c r="E103" s="8" t="s">
        <v>205</v>
      </c>
      <c r="F103" s="9">
        <v>1</v>
      </c>
      <c r="G103" s="63" t="s">
        <v>12</v>
      </c>
      <c r="H103" s="9">
        <v>1</v>
      </c>
    </row>
    <row r="104" spans="1:8" ht="51" x14ac:dyDescent="0.25">
      <c r="A104" s="102"/>
      <c r="B104" s="103"/>
      <c r="C104" s="98" t="s">
        <v>132</v>
      </c>
      <c r="D104" s="7" t="s">
        <v>206</v>
      </c>
      <c r="E104" s="7" t="s">
        <v>207</v>
      </c>
      <c r="F104" s="27">
        <v>1</v>
      </c>
      <c r="G104" s="9" t="s">
        <v>12</v>
      </c>
      <c r="H104" s="27">
        <v>1</v>
      </c>
    </row>
    <row r="105" spans="1:8" ht="51" x14ac:dyDescent="0.25">
      <c r="A105" s="102"/>
      <c r="B105" s="103"/>
      <c r="C105" s="98" t="s">
        <v>132</v>
      </c>
      <c r="D105" s="7" t="s">
        <v>206</v>
      </c>
      <c r="E105" s="12" t="s">
        <v>208</v>
      </c>
      <c r="F105" s="9">
        <v>1</v>
      </c>
      <c r="G105" s="9" t="s">
        <v>12</v>
      </c>
      <c r="H105" s="9">
        <v>1</v>
      </c>
    </row>
    <row r="106" spans="1:8" ht="51" x14ac:dyDescent="0.25">
      <c r="A106" s="102"/>
      <c r="B106" s="103"/>
      <c r="C106" s="6" t="s">
        <v>123</v>
      </c>
      <c r="D106" s="7" t="s">
        <v>209</v>
      </c>
      <c r="E106" s="12" t="s">
        <v>210</v>
      </c>
      <c r="F106" s="9">
        <v>0.5</v>
      </c>
      <c r="G106" s="63" t="s">
        <v>46</v>
      </c>
      <c r="H106" s="9">
        <v>0.5</v>
      </c>
    </row>
    <row r="107" spans="1:8" ht="38.25" x14ac:dyDescent="0.25">
      <c r="A107" s="102"/>
      <c r="B107" s="103"/>
      <c r="C107" s="6" t="s">
        <v>132</v>
      </c>
      <c r="D107" s="7" t="s">
        <v>211</v>
      </c>
      <c r="E107" s="12" t="s">
        <v>22</v>
      </c>
      <c r="F107" s="9">
        <v>0.25</v>
      </c>
      <c r="G107" s="9"/>
      <c r="H107" s="9">
        <v>0.25</v>
      </c>
    </row>
    <row r="108" spans="1:8" x14ac:dyDescent="0.25">
      <c r="A108" s="55"/>
      <c r="B108" s="110"/>
      <c r="C108" s="18"/>
      <c r="D108" s="20"/>
      <c r="E108" s="20"/>
      <c r="F108" s="36">
        <f>SUM(F92:F107)</f>
        <v>11.75</v>
      </c>
      <c r="G108" s="36"/>
      <c r="H108" s="36">
        <f>SUM(H92:H107)</f>
        <v>11.75</v>
      </c>
    </row>
    <row r="109" spans="1:8" ht="63.75" x14ac:dyDescent="0.25">
      <c r="A109" s="94" t="s">
        <v>212</v>
      </c>
      <c r="B109" s="24" t="s">
        <v>213</v>
      </c>
      <c r="C109" s="111" t="s">
        <v>127</v>
      </c>
      <c r="D109" s="7" t="s">
        <v>214</v>
      </c>
      <c r="E109" s="12" t="s">
        <v>22</v>
      </c>
      <c r="F109" s="27">
        <v>1</v>
      </c>
      <c r="G109" s="27"/>
      <c r="H109" s="27">
        <v>1</v>
      </c>
    </row>
    <row r="110" spans="1:8" ht="51" x14ac:dyDescent="0.25">
      <c r="A110" s="96"/>
      <c r="B110" s="76"/>
      <c r="C110" s="111" t="s">
        <v>127</v>
      </c>
      <c r="D110" s="26" t="s">
        <v>128</v>
      </c>
      <c r="E110" s="12" t="s">
        <v>215</v>
      </c>
      <c r="F110" s="27">
        <v>0.5</v>
      </c>
      <c r="G110" s="27" t="s">
        <v>46</v>
      </c>
      <c r="H110" s="27">
        <v>0.5</v>
      </c>
    </row>
    <row r="111" spans="1:8" ht="76.5" x14ac:dyDescent="0.25">
      <c r="A111" s="96"/>
      <c r="B111" s="76"/>
      <c r="C111" s="111" t="s">
        <v>127</v>
      </c>
      <c r="D111" s="26" t="s">
        <v>128</v>
      </c>
      <c r="E111" s="12" t="s">
        <v>129</v>
      </c>
      <c r="F111" s="27">
        <v>0.5</v>
      </c>
      <c r="G111" s="27" t="s">
        <v>46</v>
      </c>
      <c r="H111" s="27">
        <v>0.5</v>
      </c>
    </row>
    <row r="112" spans="1:8" ht="38.25" x14ac:dyDescent="0.25">
      <c r="A112" s="112"/>
      <c r="B112" s="29"/>
      <c r="C112" s="25" t="s">
        <v>24</v>
      </c>
      <c r="D112" s="48" t="s">
        <v>216</v>
      </c>
      <c r="E112" s="12" t="s">
        <v>22</v>
      </c>
      <c r="F112" s="49">
        <v>0.5</v>
      </c>
      <c r="G112" s="49"/>
      <c r="H112" s="113">
        <v>0.5</v>
      </c>
    </row>
    <row r="113" spans="1:8" x14ac:dyDescent="0.25">
      <c r="A113" s="55"/>
      <c r="B113" s="110"/>
      <c r="C113" s="18"/>
      <c r="D113" s="20"/>
      <c r="E113" s="20"/>
      <c r="F113" s="36">
        <f>SUM(F109:F112)</f>
        <v>2.5</v>
      </c>
      <c r="G113" s="36"/>
      <c r="H113" s="36">
        <f>SUM(H109:H112)</f>
        <v>2.5</v>
      </c>
    </row>
    <row r="114" spans="1:8" ht="51" x14ac:dyDescent="0.25">
      <c r="A114" s="102" t="s">
        <v>217</v>
      </c>
      <c r="B114" s="67" t="s">
        <v>218</v>
      </c>
      <c r="C114" s="6" t="s">
        <v>219</v>
      </c>
      <c r="D114" s="7" t="s">
        <v>220</v>
      </c>
      <c r="E114" s="12" t="s">
        <v>169</v>
      </c>
      <c r="F114" s="9">
        <v>0.5</v>
      </c>
      <c r="G114" s="9" t="s">
        <v>46</v>
      </c>
      <c r="H114" s="9">
        <v>0.5</v>
      </c>
    </row>
    <row r="115" spans="1:8" ht="63.75" x14ac:dyDescent="0.25">
      <c r="A115" s="102"/>
      <c r="B115" s="67"/>
      <c r="C115" s="98" t="s">
        <v>132</v>
      </c>
      <c r="D115" s="7" t="s">
        <v>135</v>
      </c>
      <c r="E115" s="12" t="s">
        <v>221</v>
      </c>
      <c r="F115" s="9">
        <v>1</v>
      </c>
      <c r="G115" s="9" t="s">
        <v>12</v>
      </c>
      <c r="H115" s="9">
        <v>1</v>
      </c>
    </row>
    <row r="116" spans="1:8" ht="63.75" x14ac:dyDescent="0.25">
      <c r="A116" s="102"/>
      <c r="B116" s="67"/>
      <c r="C116" s="98" t="s">
        <v>132</v>
      </c>
      <c r="D116" s="7" t="s">
        <v>135</v>
      </c>
      <c r="E116" s="12" t="s">
        <v>222</v>
      </c>
      <c r="F116" s="9">
        <v>1</v>
      </c>
      <c r="G116" s="9" t="s">
        <v>12</v>
      </c>
      <c r="H116" s="9">
        <v>1</v>
      </c>
    </row>
    <row r="117" spans="1:8" ht="63.75" x14ac:dyDescent="0.25">
      <c r="A117" s="102"/>
      <c r="B117" s="67"/>
      <c r="C117" s="98" t="s">
        <v>132</v>
      </c>
      <c r="D117" s="7" t="s">
        <v>135</v>
      </c>
      <c r="E117" s="12" t="s">
        <v>223</v>
      </c>
      <c r="F117" s="9">
        <v>1</v>
      </c>
      <c r="G117" s="9" t="s">
        <v>12</v>
      </c>
      <c r="H117" s="9">
        <v>1</v>
      </c>
    </row>
    <row r="118" spans="1:8" x14ac:dyDescent="0.25">
      <c r="A118" s="55"/>
      <c r="B118" s="50"/>
      <c r="C118" s="18"/>
      <c r="D118" s="35"/>
      <c r="E118" s="35"/>
      <c r="F118" s="36">
        <f>SUM(F114:F117)</f>
        <v>3.5</v>
      </c>
      <c r="G118" s="36"/>
      <c r="H118" s="36">
        <f>SUM(H114:H117)</f>
        <v>3.5</v>
      </c>
    </row>
    <row r="119" spans="1:8" ht="204" x14ac:dyDescent="0.25">
      <c r="A119" s="114" t="s">
        <v>224</v>
      </c>
      <c r="B119" s="115" t="s">
        <v>225</v>
      </c>
      <c r="C119" s="6" t="s">
        <v>132</v>
      </c>
      <c r="D119" s="48" t="s">
        <v>133</v>
      </c>
      <c r="E119" s="48" t="s">
        <v>134</v>
      </c>
      <c r="F119" s="63">
        <v>1</v>
      </c>
      <c r="G119" s="63" t="s">
        <v>12</v>
      </c>
      <c r="H119" s="63">
        <v>1</v>
      </c>
    </row>
    <row r="120" spans="1:8" x14ac:dyDescent="0.25">
      <c r="A120" s="55"/>
      <c r="B120" s="50"/>
      <c r="C120" s="18"/>
      <c r="D120" s="20"/>
      <c r="E120" s="20"/>
      <c r="F120" s="36">
        <f>SUM(F119:F119)</f>
        <v>1</v>
      </c>
      <c r="G120" s="36"/>
      <c r="H120" s="36">
        <f>SUM(H119:H119)</f>
        <v>1</v>
      </c>
    </row>
    <row r="121" spans="1:8" ht="76.5" x14ac:dyDescent="0.25">
      <c r="A121" s="94" t="s">
        <v>226</v>
      </c>
      <c r="B121" s="24" t="s">
        <v>227</v>
      </c>
      <c r="C121" s="6" t="s">
        <v>147</v>
      </c>
      <c r="D121" s="26" t="s">
        <v>228</v>
      </c>
      <c r="E121" s="7" t="s">
        <v>229</v>
      </c>
      <c r="F121" s="27">
        <v>1</v>
      </c>
      <c r="G121" s="27" t="s">
        <v>12</v>
      </c>
      <c r="H121" s="27">
        <v>1</v>
      </c>
    </row>
    <row r="122" spans="1:8" ht="51" x14ac:dyDescent="0.25">
      <c r="A122" s="96"/>
      <c r="B122" s="76"/>
      <c r="C122" s="6" t="s">
        <v>193</v>
      </c>
      <c r="D122" s="7" t="s">
        <v>194</v>
      </c>
      <c r="E122" s="7" t="s">
        <v>230</v>
      </c>
      <c r="F122" s="27">
        <v>1</v>
      </c>
      <c r="G122" s="27" t="s">
        <v>12</v>
      </c>
      <c r="H122" s="27">
        <v>1</v>
      </c>
    </row>
    <row r="123" spans="1:8" ht="51" x14ac:dyDescent="0.25">
      <c r="A123" s="96"/>
      <c r="B123" s="76"/>
      <c r="C123" s="6" t="s">
        <v>193</v>
      </c>
      <c r="D123" s="7" t="s">
        <v>231</v>
      </c>
      <c r="E123" s="26" t="s">
        <v>232</v>
      </c>
      <c r="F123" s="27">
        <v>1</v>
      </c>
      <c r="G123" s="27" t="s">
        <v>12</v>
      </c>
      <c r="H123" s="27">
        <v>1</v>
      </c>
    </row>
    <row r="124" spans="1:8" ht="38.25" x14ac:dyDescent="0.25">
      <c r="A124" s="96"/>
      <c r="B124" s="76"/>
      <c r="C124" s="116" t="s">
        <v>233</v>
      </c>
      <c r="D124" s="26" t="s">
        <v>234</v>
      </c>
      <c r="E124" s="7" t="s">
        <v>235</v>
      </c>
      <c r="F124" s="117">
        <v>0.5</v>
      </c>
      <c r="G124" s="27" t="s">
        <v>46</v>
      </c>
      <c r="H124" s="117">
        <v>0.5</v>
      </c>
    </row>
    <row r="125" spans="1:8" ht="51" x14ac:dyDescent="0.25">
      <c r="A125" s="96"/>
      <c r="B125" s="76"/>
      <c r="C125" s="116" t="s">
        <v>233</v>
      </c>
      <c r="D125" s="26" t="s">
        <v>234</v>
      </c>
      <c r="E125" s="7" t="s">
        <v>236</v>
      </c>
      <c r="F125" s="117">
        <v>0.5</v>
      </c>
      <c r="G125" s="27" t="s">
        <v>46</v>
      </c>
      <c r="H125" s="117">
        <v>0.5</v>
      </c>
    </row>
    <row r="126" spans="1:8" ht="51" x14ac:dyDescent="0.25">
      <c r="A126" s="112"/>
      <c r="B126" s="29"/>
      <c r="C126" s="116" t="s">
        <v>233</v>
      </c>
      <c r="D126" s="26" t="s">
        <v>234</v>
      </c>
      <c r="E126" s="7" t="s">
        <v>230</v>
      </c>
      <c r="F126" s="117">
        <v>0.5</v>
      </c>
      <c r="G126" s="27" t="s">
        <v>46</v>
      </c>
      <c r="H126" s="117">
        <v>0.5</v>
      </c>
    </row>
    <row r="127" spans="1:8" x14ac:dyDescent="0.25">
      <c r="A127" s="55"/>
      <c r="B127" s="118"/>
      <c r="C127" s="18"/>
      <c r="D127" s="119"/>
      <c r="E127" s="20"/>
      <c r="F127" s="36">
        <f>SUM(F121:F126)</f>
        <v>4.5</v>
      </c>
      <c r="G127" s="36"/>
      <c r="H127" s="36">
        <f>SUM(H121:H126)</f>
        <v>4.5</v>
      </c>
    </row>
    <row r="128" spans="1:8" ht="51" x14ac:dyDescent="0.25">
      <c r="A128" s="120" t="s">
        <v>237</v>
      </c>
      <c r="B128" s="67" t="s">
        <v>238</v>
      </c>
      <c r="C128" s="6" t="s">
        <v>239</v>
      </c>
      <c r="D128" s="7" t="s">
        <v>240</v>
      </c>
      <c r="E128" s="12" t="s">
        <v>241</v>
      </c>
      <c r="F128" s="9">
        <v>0.25</v>
      </c>
      <c r="G128" s="9" t="s">
        <v>37</v>
      </c>
      <c r="H128" s="9">
        <v>0.25</v>
      </c>
    </row>
    <row r="129" spans="1:8" ht="51" x14ac:dyDescent="0.25">
      <c r="A129" s="120"/>
      <c r="B129" s="67"/>
      <c r="C129" s="6" t="s">
        <v>239</v>
      </c>
      <c r="D129" s="7" t="s">
        <v>242</v>
      </c>
      <c r="E129" s="7" t="s">
        <v>243</v>
      </c>
      <c r="F129" s="9">
        <v>0.25</v>
      </c>
      <c r="G129" s="9" t="s">
        <v>37</v>
      </c>
      <c r="H129" s="9">
        <v>0.25</v>
      </c>
    </row>
    <row r="130" spans="1:8" ht="38.25" x14ac:dyDescent="0.25">
      <c r="A130" s="120"/>
      <c r="B130" s="67"/>
      <c r="C130" s="6" t="s">
        <v>244</v>
      </c>
      <c r="D130" s="7" t="s">
        <v>245</v>
      </c>
      <c r="E130" s="12" t="s">
        <v>229</v>
      </c>
      <c r="F130" s="9">
        <v>0.25</v>
      </c>
      <c r="G130" s="9" t="s">
        <v>46</v>
      </c>
      <c r="H130" s="9">
        <v>0.25</v>
      </c>
    </row>
    <row r="131" spans="1:8" ht="76.5" x14ac:dyDescent="0.25">
      <c r="A131" s="120"/>
      <c r="B131" s="67"/>
      <c r="C131" s="6" t="s">
        <v>239</v>
      </c>
      <c r="D131" s="7" t="s">
        <v>246</v>
      </c>
      <c r="E131" s="12" t="s">
        <v>247</v>
      </c>
      <c r="F131" s="9">
        <v>0.25</v>
      </c>
      <c r="G131" s="9" t="s">
        <v>46</v>
      </c>
      <c r="H131" s="9">
        <v>0.25</v>
      </c>
    </row>
    <row r="132" spans="1:8" ht="51" x14ac:dyDescent="0.25">
      <c r="A132" s="120"/>
      <c r="B132" s="67"/>
      <c r="C132" s="6" t="s">
        <v>239</v>
      </c>
      <c r="D132" s="121" t="s">
        <v>248</v>
      </c>
      <c r="E132" s="12" t="s">
        <v>249</v>
      </c>
      <c r="F132" s="9">
        <v>0.25</v>
      </c>
      <c r="G132" s="9" t="s">
        <v>46</v>
      </c>
      <c r="H132" s="9">
        <v>0.25</v>
      </c>
    </row>
    <row r="133" spans="1:8" x14ac:dyDescent="0.25">
      <c r="A133" s="16"/>
      <c r="B133" s="50"/>
      <c r="C133" s="122"/>
      <c r="D133" s="35"/>
      <c r="E133" s="35"/>
      <c r="F133" s="36">
        <f>SUM(F128:F132)</f>
        <v>1.25</v>
      </c>
      <c r="G133" s="36"/>
      <c r="H133" s="36">
        <f t="shared" ref="H133" si="0">SUM(H128:H132)</f>
        <v>1.25</v>
      </c>
    </row>
    <row r="134" spans="1:8" ht="25.5" x14ac:dyDescent="0.25">
      <c r="A134" s="120" t="s">
        <v>250</v>
      </c>
      <c r="B134" s="67" t="s">
        <v>251</v>
      </c>
      <c r="C134" s="6" t="s">
        <v>252</v>
      </c>
      <c r="D134" s="7" t="s">
        <v>253</v>
      </c>
      <c r="E134" s="12"/>
      <c r="F134" s="9">
        <v>0.5</v>
      </c>
      <c r="G134" s="9"/>
      <c r="H134" s="9">
        <v>0.5</v>
      </c>
    </row>
    <row r="135" spans="1:8" ht="51" x14ac:dyDescent="0.25">
      <c r="A135" s="120"/>
      <c r="B135" s="67"/>
      <c r="C135" s="6" t="s">
        <v>254</v>
      </c>
      <c r="D135" s="7" t="s">
        <v>255</v>
      </c>
      <c r="E135" s="12" t="s">
        <v>256</v>
      </c>
      <c r="F135" s="9">
        <v>0.5</v>
      </c>
      <c r="G135" s="9" t="s">
        <v>46</v>
      </c>
      <c r="H135" s="9">
        <v>0.5</v>
      </c>
    </row>
    <row r="136" spans="1:8" ht="38.25" x14ac:dyDescent="0.25">
      <c r="A136" s="120"/>
      <c r="B136" s="67"/>
      <c r="C136" s="6" t="s">
        <v>239</v>
      </c>
      <c r="D136" s="26" t="s">
        <v>257</v>
      </c>
      <c r="E136" s="12" t="s">
        <v>241</v>
      </c>
      <c r="F136" s="9">
        <v>0.5</v>
      </c>
      <c r="G136" s="9" t="s">
        <v>46</v>
      </c>
      <c r="H136" s="9">
        <v>0.5</v>
      </c>
    </row>
    <row r="137" spans="1:8" ht="63.75" x14ac:dyDescent="0.25">
      <c r="A137" s="120"/>
      <c r="B137" s="67"/>
      <c r="C137" s="6" t="s">
        <v>239</v>
      </c>
      <c r="D137" s="26" t="s">
        <v>257</v>
      </c>
      <c r="E137" s="123" t="s">
        <v>258</v>
      </c>
      <c r="F137" s="9">
        <v>0.5</v>
      </c>
      <c r="G137" s="9" t="s">
        <v>188</v>
      </c>
      <c r="H137" s="9">
        <v>0.5</v>
      </c>
    </row>
    <row r="138" spans="1:8" ht="63.75" x14ac:dyDescent="0.25">
      <c r="A138" s="120"/>
      <c r="B138" s="67"/>
      <c r="C138" s="6" t="s">
        <v>239</v>
      </c>
      <c r="D138" s="26" t="s">
        <v>257</v>
      </c>
      <c r="E138" s="123" t="s">
        <v>259</v>
      </c>
      <c r="F138" s="9">
        <v>0.5</v>
      </c>
      <c r="G138" s="9" t="s">
        <v>188</v>
      </c>
      <c r="H138" s="9">
        <v>0.5</v>
      </c>
    </row>
    <row r="139" spans="1:8" ht="38.25" x14ac:dyDescent="0.25">
      <c r="A139" s="120"/>
      <c r="B139" s="67"/>
      <c r="C139" s="6" t="s">
        <v>239</v>
      </c>
      <c r="D139" s="26" t="s">
        <v>257</v>
      </c>
      <c r="E139" s="123" t="s">
        <v>260</v>
      </c>
      <c r="F139" s="9">
        <v>0.5</v>
      </c>
      <c r="G139" s="9" t="s">
        <v>188</v>
      </c>
      <c r="H139" s="9">
        <v>0.5</v>
      </c>
    </row>
    <row r="140" spans="1:8" ht="51" x14ac:dyDescent="0.25">
      <c r="A140" s="120"/>
      <c r="B140" s="67"/>
      <c r="C140" s="6" t="s">
        <v>239</v>
      </c>
      <c r="D140" s="26" t="s">
        <v>257</v>
      </c>
      <c r="E140" s="123" t="s">
        <v>261</v>
      </c>
      <c r="F140" s="9">
        <v>0.5</v>
      </c>
      <c r="G140" s="9" t="s">
        <v>46</v>
      </c>
      <c r="H140" s="9">
        <v>0.5</v>
      </c>
    </row>
    <row r="141" spans="1:8" ht="38.25" x14ac:dyDescent="0.25">
      <c r="A141" s="120"/>
      <c r="B141" s="67"/>
      <c r="C141" s="6" t="s">
        <v>239</v>
      </c>
      <c r="D141" s="26" t="s">
        <v>257</v>
      </c>
      <c r="E141" s="124" t="s">
        <v>262</v>
      </c>
      <c r="F141" s="9">
        <v>0.5</v>
      </c>
      <c r="G141" s="9" t="s">
        <v>188</v>
      </c>
      <c r="H141" s="9">
        <v>0.5</v>
      </c>
    </row>
    <row r="142" spans="1:8" ht="51" x14ac:dyDescent="0.25">
      <c r="A142" s="120"/>
      <c r="B142" s="67"/>
      <c r="C142" s="6" t="s">
        <v>263</v>
      </c>
      <c r="D142" s="7" t="s">
        <v>264</v>
      </c>
      <c r="E142" s="12" t="s">
        <v>265</v>
      </c>
      <c r="F142" s="9">
        <v>0.5</v>
      </c>
      <c r="G142" s="9" t="s">
        <v>266</v>
      </c>
      <c r="H142" s="9">
        <v>0.5</v>
      </c>
    </row>
    <row r="143" spans="1:8" ht="25.5" x14ac:dyDescent="0.25">
      <c r="A143" s="120"/>
      <c r="B143" s="67"/>
      <c r="C143" s="6" t="s">
        <v>24</v>
      </c>
      <c r="D143" s="7" t="s">
        <v>77</v>
      </c>
      <c r="E143" s="53" t="s">
        <v>76</v>
      </c>
      <c r="F143" s="9">
        <v>0.25</v>
      </c>
      <c r="G143" s="9" t="s">
        <v>46</v>
      </c>
      <c r="H143" s="9">
        <v>0.25</v>
      </c>
    </row>
    <row r="144" spans="1:8" ht="51" x14ac:dyDescent="0.25">
      <c r="A144" s="120"/>
      <c r="B144" s="67"/>
      <c r="C144" s="6" t="s">
        <v>24</v>
      </c>
      <c r="D144" s="26" t="s">
        <v>69</v>
      </c>
      <c r="E144" s="54" t="s">
        <v>71</v>
      </c>
      <c r="F144" s="9">
        <v>0.1</v>
      </c>
      <c r="G144" s="9" t="s">
        <v>46</v>
      </c>
      <c r="H144" s="9">
        <v>0.1</v>
      </c>
    </row>
    <row r="145" spans="1:8" ht="25.5" x14ac:dyDescent="0.25">
      <c r="A145" s="120"/>
      <c r="B145" s="67"/>
      <c r="C145" s="6" t="s">
        <v>24</v>
      </c>
      <c r="D145" s="26" t="s">
        <v>69</v>
      </c>
      <c r="E145" s="125" t="s">
        <v>267</v>
      </c>
      <c r="F145" s="9">
        <v>0.2</v>
      </c>
      <c r="G145" s="9" t="s">
        <v>46</v>
      </c>
      <c r="H145" s="9">
        <v>0.2</v>
      </c>
    </row>
    <row r="146" spans="1:8" ht="25.5" x14ac:dyDescent="0.25">
      <c r="A146" s="120"/>
      <c r="B146" s="67"/>
      <c r="C146" s="6" t="s">
        <v>24</v>
      </c>
      <c r="D146" s="26" t="s">
        <v>69</v>
      </c>
      <c r="E146" s="53" t="s">
        <v>70</v>
      </c>
      <c r="F146" s="9">
        <v>0.1</v>
      </c>
      <c r="G146" s="9" t="s">
        <v>46</v>
      </c>
      <c r="H146" s="9">
        <v>0.1</v>
      </c>
    </row>
    <row r="147" spans="1:8" ht="25.5" x14ac:dyDescent="0.25">
      <c r="A147" s="120"/>
      <c r="B147" s="67"/>
      <c r="C147" s="6" t="s">
        <v>24</v>
      </c>
      <c r="D147" s="26" t="s">
        <v>69</v>
      </c>
      <c r="E147" s="53" t="s">
        <v>66</v>
      </c>
      <c r="F147" s="9">
        <v>0.1</v>
      </c>
      <c r="G147" s="9" t="s">
        <v>46</v>
      </c>
      <c r="H147" s="9">
        <v>0.1</v>
      </c>
    </row>
    <row r="148" spans="1:8" ht="25.5" x14ac:dyDescent="0.25">
      <c r="A148" s="120"/>
      <c r="B148" s="67"/>
      <c r="C148" s="6" t="s">
        <v>24</v>
      </c>
      <c r="D148" s="7" t="s">
        <v>25</v>
      </c>
      <c r="E148" s="12" t="s">
        <v>22</v>
      </c>
      <c r="F148" s="9">
        <v>0.25</v>
      </c>
      <c r="G148" s="9"/>
      <c r="H148" s="9">
        <v>0.25</v>
      </c>
    </row>
    <row r="149" spans="1:8" ht="51" x14ac:dyDescent="0.25">
      <c r="A149" s="120"/>
      <c r="B149" s="67"/>
      <c r="C149" s="6" t="s">
        <v>24</v>
      </c>
      <c r="D149" s="7" t="s">
        <v>268</v>
      </c>
      <c r="E149" s="12" t="s">
        <v>83</v>
      </c>
      <c r="F149" s="9">
        <v>0.5</v>
      </c>
      <c r="G149" s="9" t="s">
        <v>46</v>
      </c>
      <c r="H149" s="9">
        <v>0.5</v>
      </c>
    </row>
    <row r="150" spans="1:8" ht="51" x14ac:dyDescent="0.25">
      <c r="A150" s="120"/>
      <c r="B150" s="67"/>
      <c r="C150" s="6" t="s">
        <v>269</v>
      </c>
      <c r="D150" s="124" t="s">
        <v>270</v>
      </c>
      <c r="E150" s="12" t="s">
        <v>271</v>
      </c>
      <c r="F150" s="9">
        <v>0.5</v>
      </c>
      <c r="G150" s="9" t="s">
        <v>46</v>
      </c>
      <c r="H150" s="9">
        <v>0.5</v>
      </c>
    </row>
    <row r="151" spans="1:8" ht="51" x14ac:dyDescent="0.25">
      <c r="A151" s="120"/>
      <c r="B151" s="67"/>
      <c r="C151" s="6" t="s">
        <v>269</v>
      </c>
      <c r="D151" s="7" t="s">
        <v>272</v>
      </c>
      <c r="E151" s="7" t="s">
        <v>134</v>
      </c>
      <c r="F151" s="9">
        <v>0.5</v>
      </c>
      <c r="G151" s="9" t="s">
        <v>46</v>
      </c>
      <c r="H151" s="9">
        <v>0.5</v>
      </c>
    </row>
    <row r="152" spans="1:8" x14ac:dyDescent="0.25">
      <c r="A152" s="16"/>
      <c r="B152" s="50"/>
      <c r="C152" s="122"/>
      <c r="D152" s="126"/>
      <c r="E152" s="35"/>
      <c r="F152" s="36">
        <f>SUM(F134:F151)</f>
        <v>6.9999999999999991</v>
      </c>
      <c r="G152" s="36"/>
      <c r="H152" s="36">
        <f>SUM(H134:H151)</f>
        <v>6.9999999999999991</v>
      </c>
    </row>
    <row r="153" spans="1:8" ht="51" x14ac:dyDescent="0.25">
      <c r="A153" s="127" t="s">
        <v>273</v>
      </c>
      <c r="B153" s="108" t="s">
        <v>274</v>
      </c>
      <c r="C153" s="128"/>
      <c r="D153" s="7"/>
      <c r="E153" s="7"/>
      <c r="F153" s="129"/>
      <c r="G153" s="129"/>
      <c r="H153" s="7"/>
    </row>
    <row r="154" spans="1:8" x14ac:dyDescent="0.25">
      <c r="A154" s="102" t="s">
        <v>275</v>
      </c>
      <c r="B154" s="130" t="s">
        <v>276</v>
      </c>
      <c r="C154" s="25" t="s">
        <v>277</v>
      </c>
      <c r="D154" s="131" t="s">
        <v>278</v>
      </c>
      <c r="E154" s="12" t="s">
        <v>22</v>
      </c>
      <c r="F154" s="132">
        <v>1</v>
      </c>
      <c r="G154" s="27"/>
      <c r="H154" s="133">
        <v>1</v>
      </c>
    </row>
    <row r="155" spans="1:8" ht="51" x14ac:dyDescent="0.25">
      <c r="A155" s="102"/>
      <c r="B155" s="130"/>
      <c r="C155" s="25" t="s">
        <v>24</v>
      </c>
      <c r="D155" s="131" t="s">
        <v>28</v>
      </c>
      <c r="E155" s="134" t="s">
        <v>271</v>
      </c>
      <c r="F155" s="135">
        <v>0.25</v>
      </c>
      <c r="G155" s="9" t="s">
        <v>46</v>
      </c>
      <c r="H155" s="136">
        <v>0.25</v>
      </c>
    </row>
    <row r="156" spans="1:8" x14ac:dyDescent="0.25">
      <c r="A156" s="102"/>
      <c r="B156" s="130"/>
      <c r="C156" s="25" t="s">
        <v>24</v>
      </c>
      <c r="D156" s="131" t="s">
        <v>25</v>
      </c>
      <c r="E156" s="12" t="s">
        <v>22</v>
      </c>
      <c r="F156" s="135">
        <v>0.25</v>
      </c>
      <c r="G156" s="135"/>
      <c r="H156" s="136">
        <v>0.25</v>
      </c>
    </row>
    <row r="157" spans="1:8" x14ac:dyDescent="0.25">
      <c r="A157" s="102"/>
      <c r="B157" s="130"/>
      <c r="C157" s="6" t="s">
        <v>279</v>
      </c>
      <c r="D157" s="137" t="s">
        <v>280</v>
      </c>
      <c r="E157" s="138" t="s">
        <v>281</v>
      </c>
      <c r="F157" s="139">
        <v>1</v>
      </c>
      <c r="G157" s="135" t="s">
        <v>12</v>
      </c>
      <c r="H157" s="139">
        <v>1</v>
      </c>
    </row>
    <row r="158" spans="1:8" ht="51" x14ac:dyDescent="0.25">
      <c r="A158" s="102"/>
      <c r="B158" s="130"/>
      <c r="C158" s="6" t="s">
        <v>279</v>
      </c>
      <c r="D158" s="137" t="s">
        <v>280</v>
      </c>
      <c r="E158" s="140" t="s">
        <v>71</v>
      </c>
      <c r="F158" s="139">
        <v>0.25</v>
      </c>
      <c r="G158" s="135" t="s">
        <v>46</v>
      </c>
      <c r="H158" s="139">
        <v>0.25</v>
      </c>
    </row>
    <row r="159" spans="1:8" x14ac:dyDescent="0.25">
      <c r="A159" s="102"/>
      <c r="B159" s="130"/>
      <c r="C159" s="25" t="s">
        <v>279</v>
      </c>
      <c r="D159" s="121" t="s">
        <v>282</v>
      </c>
      <c r="E159" s="124" t="s">
        <v>76</v>
      </c>
      <c r="F159" s="135">
        <v>0.5</v>
      </c>
      <c r="G159" s="135" t="s">
        <v>46</v>
      </c>
      <c r="H159" s="139">
        <v>0.5</v>
      </c>
    </row>
    <row r="160" spans="1:8" x14ac:dyDescent="0.25">
      <c r="A160" s="102"/>
      <c r="B160" s="130"/>
      <c r="C160" s="25" t="s">
        <v>24</v>
      </c>
      <c r="D160" s="137" t="s">
        <v>69</v>
      </c>
      <c r="E160" s="124" t="s">
        <v>70</v>
      </c>
      <c r="F160" s="139">
        <v>0.25</v>
      </c>
      <c r="G160" s="135" t="s">
        <v>46</v>
      </c>
      <c r="H160" s="139">
        <v>0.25</v>
      </c>
    </row>
    <row r="161" spans="1:8" x14ac:dyDescent="0.25">
      <c r="A161" s="102"/>
      <c r="B161" s="130"/>
      <c r="C161" s="25" t="s">
        <v>24</v>
      </c>
      <c r="D161" s="137" t="s">
        <v>69</v>
      </c>
      <c r="E161" s="53" t="s">
        <v>66</v>
      </c>
      <c r="F161" s="139">
        <v>0.25</v>
      </c>
      <c r="G161" s="135" t="s">
        <v>46</v>
      </c>
      <c r="H161" s="139">
        <v>0.25</v>
      </c>
    </row>
    <row r="162" spans="1:8" ht="51" x14ac:dyDescent="0.25">
      <c r="A162" s="102"/>
      <c r="B162" s="130"/>
      <c r="C162" s="25" t="s">
        <v>24</v>
      </c>
      <c r="D162" s="121" t="s">
        <v>283</v>
      </c>
      <c r="E162" s="7" t="s">
        <v>284</v>
      </c>
      <c r="F162" s="135">
        <v>1</v>
      </c>
      <c r="G162" s="27" t="s">
        <v>12</v>
      </c>
      <c r="H162" s="139">
        <v>1</v>
      </c>
    </row>
    <row r="163" spans="1:8" x14ac:dyDescent="0.25">
      <c r="A163" s="102"/>
      <c r="B163" s="130"/>
      <c r="C163" s="25" t="s">
        <v>24</v>
      </c>
      <c r="D163" s="137" t="s">
        <v>268</v>
      </c>
      <c r="E163" s="131" t="s">
        <v>285</v>
      </c>
      <c r="F163" s="139">
        <v>0.5</v>
      </c>
      <c r="G163" s="27" t="s">
        <v>12</v>
      </c>
      <c r="H163" s="139">
        <v>0.5</v>
      </c>
    </row>
    <row r="164" spans="1:8" ht="25.5" x14ac:dyDescent="0.25">
      <c r="A164" s="102"/>
      <c r="B164" s="130"/>
      <c r="C164" s="25" t="s">
        <v>24</v>
      </c>
      <c r="D164" s="137" t="s">
        <v>268</v>
      </c>
      <c r="E164" s="131" t="s">
        <v>83</v>
      </c>
      <c r="F164" s="139">
        <v>0.25</v>
      </c>
      <c r="G164" s="9" t="s">
        <v>46</v>
      </c>
      <c r="H164" s="139">
        <v>0.25</v>
      </c>
    </row>
    <row r="165" spans="1:8" ht="25.5" x14ac:dyDescent="0.25">
      <c r="A165" s="102"/>
      <c r="B165" s="130"/>
      <c r="C165" s="25" t="s">
        <v>24</v>
      </c>
      <c r="D165" s="121" t="s">
        <v>116</v>
      </c>
      <c r="E165" s="131" t="s">
        <v>115</v>
      </c>
      <c r="F165" s="135">
        <v>0.5</v>
      </c>
      <c r="G165" s="9" t="s">
        <v>46</v>
      </c>
      <c r="H165" s="139">
        <v>0.5</v>
      </c>
    </row>
    <row r="166" spans="1:8" ht="63.75" x14ac:dyDescent="0.25">
      <c r="A166" s="102"/>
      <c r="B166" s="130"/>
      <c r="C166" s="25" t="s">
        <v>24</v>
      </c>
      <c r="D166" s="26" t="s">
        <v>109</v>
      </c>
      <c r="E166" s="131" t="s">
        <v>106</v>
      </c>
      <c r="F166" s="135">
        <v>0.25</v>
      </c>
      <c r="G166" s="27" t="s">
        <v>46</v>
      </c>
      <c r="H166" s="139">
        <v>0.25</v>
      </c>
    </row>
    <row r="167" spans="1:8" ht="25.5" x14ac:dyDescent="0.25">
      <c r="A167" s="102"/>
      <c r="B167" s="130"/>
      <c r="C167" s="25" t="s">
        <v>24</v>
      </c>
      <c r="D167" s="121" t="s">
        <v>286</v>
      </c>
      <c r="E167" s="131" t="s">
        <v>99</v>
      </c>
      <c r="F167" s="141">
        <v>0.5</v>
      </c>
      <c r="G167" s="27" t="s">
        <v>46</v>
      </c>
      <c r="H167" s="142">
        <v>0.5</v>
      </c>
    </row>
    <row r="168" spans="1:8" x14ac:dyDescent="0.25">
      <c r="A168" s="143"/>
      <c r="B168" s="50"/>
      <c r="C168" s="122"/>
      <c r="D168" s="20"/>
      <c r="E168" s="20"/>
      <c r="F168" s="36">
        <f>SUM(F154:F167)</f>
        <v>6.75</v>
      </c>
      <c r="G168" s="36"/>
      <c r="H168" s="144">
        <f>SUM(H154:H167)</f>
        <v>6.75</v>
      </c>
    </row>
    <row r="169" spans="1:8" ht="25.5" x14ac:dyDescent="0.25">
      <c r="A169" s="145" t="s">
        <v>287</v>
      </c>
      <c r="B169" s="108" t="s">
        <v>288</v>
      </c>
      <c r="C169" s="25"/>
      <c r="D169" s="131"/>
      <c r="E169" s="131"/>
      <c r="F169" s="146"/>
      <c r="G169" s="27"/>
      <c r="H169" s="146"/>
    </row>
    <row r="170" spans="1:8" ht="76.5" x14ac:dyDescent="0.25">
      <c r="A170" s="102" t="s">
        <v>289</v>
      </c>
      <c r="B170" s="130" t="s">
        <v>290</v>
      </c>
      <c r="C170" s="25" t="s">
        <v>291</v>
      </c>
      <c r="D170" s="121" t="s">
        <v>246</v>
      </c>
      <c r="E170" s="7" t="s">
        <v>292</v>
      </c>
      <c r="F170" s="147">
        <v>0.125</v>
      </c>
      <c r="G170" s="139" t="s">
        <v>46</v>
      </c>
      <c r="H170" s="147">
        <v>0.125</v>
      </c>
    </row>
    <row r="171" spans="1:8" x14ac:dyDescent="0.25">
      <c r="A171" s="102"/>
      <c r="B171" s="130"/>
      <c r="C171" s="25" t="s">
        <v>291</v>
      </c>
      <c r="D171" s="121" t="s">
        <v>246</v>
      </c>
      <c r="E171" s="131" t="s">
        <v>293</v>
      </c>
      <c r="F171" s="147">
        <v>0.125</v>
      </c>
      <c r="G171" s="139" t="s">
        <v>46</v>
      </c>
      <c r="H171" s="147">
        <v>0.125</v>
      </c>
    </row>
    <row r="172" spans="1:8" x14ac:dyDescent="0.25">
      <c r="A172" s="102"/>
      <c r="B172" s="130"/>
      <c r="C172" s="25" t="s">
        <v>291</v>
      </c>
      <c r="D172" s="121" t="s">
        <v>294</v>
      </c>
      <c r="E172" s="131" t="s">
        <v>265</v>
      </c>
      <c r="F172" s="146">
        <v>0.25</v>
      </c>
      <c r="G172" s="139" t="s">
        <v>46</v>
      </c>
      <c r="H172" s="146">
        <v>0.25</v>
      </c>
    </row>
    <row r="173" spans="1:8" x14ac:dyDescent="0.25">
      <c r="A173" s="55"/>
      <c r="B173" s="50"/>
      <c r="C173" s="122"/>
      <c r="D173" s="148"/>
      <c r="E173" s="20"/>
      <c r="F173" s="149">
        <f>SUM(F170:F172)</f>
        <v>0.5</v>
      </c>
      <c r="G173" s="149"/>
      <c r="H173" s="149">
        <f>SUM(H170:H172)</f>
        <v>0.5</v>
      </c>
    </row>
    <row r="174" spans="1:8" ht="25.5" x14ac:dyDescent="0.25">
      <c r="A174" s="145" t="s">
        <v>295</v>
      </c>
      <c r="B174" s="108" t="s">
        <v>296</v>
      </c>
      <c r="C174" s="25"/>
      <c r="D174" s="131"/>
      <c r="E174" s="131"/>
      <c r="F174" s="146"/>
      <c r="G174" s="27"/>
      <c r="H174" s="146"/>
    </row>
    <row r="175" spans="1:8" x14ac:dyDescent="0.25">
      <c r="A175" s="102" t="s">
        <v>297</v>
      </c>
      <c r="B175" s="130" t="s">
        <v>298</v>
      </c>
      <c r="C175" s="25" t="s">
        <v>299</v>
      </c>
      <c r="D175" s="131" t="s">
        <v>300</v>
      </c>
      <c r="E175" s="131" t="s">
        <v>265</v>
      </c>
      <c r="F175" s="146">
        <v>1</v>
      </c>
      <c r="G175" s="27" t="s">
        <v>12</v>
      </c>
      <c r="H175" s="146">
        <v>1</v>
      </c>
    </row>
    <row r="176" spans="1:8" ht="76.5" x14ac:dyDescent="0.25">
      <c r="A176" s="102"/>
      <c r="B176" s="130"/>
      <c r="C176" s="25" t="s">
        <v>299</v>
      </c>
      <c r="D176" s="137" t="s">
        <v>301</v>
      </c>
      <c r="E176" s="7" t="s">
        <v>292</v>
      </c>
      <c r="F176" s="146">
        <v>1</v>
      </c>
      <c r="G176" s="27" t="s">
        <v>12</v>
      </c>
      <c r="H176" s="146">
        <v>1</v>
      </c>
    </row>
    <row r="177" spans="1:8" x14ac:dyDescent="0.25">
      <c r="A177" s="102"/>
      <c r="B177" s="130"/>
      <c r="C177" s="25" t="s">
        <v>299</v>
      </c>
      <c r="D177" s="137" t="s">
        <v>301</v>
      </c>
      <c r="E177" s="131" t="s">
        <v>293</v>
      </c>
      <c r="F177" s="146">
        <v>1</v>
      </c>
      <c r="G177" s="27" t="s">
        <v>12</v>
      </c>
      <c r="H177" s="146">
        <v>1</v>
      </c>
    </row>
    <row r="178" spans="1:8" ht="51" x14ac:dyDescent="0.25">
      <c r="A178" s="102"/>
      <c r="B178" s="130"/>
      <c r="C178" s="25" t="s">
        <v>299</v>
      </c>
      <c r="D178" s="137" t="s">
        <v>301</v>
      </c>
      <c r="E178" s="131" t="s">
        <v>265</v>
      </c>
      <c r="F178" s="146">
        <v>0.5</v>
      </c>
      <c r="G178" s="150" t="s">
        <v>37</v>
      </c>
      <c r="H178" s="146">
        <v>0.5</v>
      </c>
    </row>
    <row r="179" spans="1:8" ht="76.5" x14ac:dyDescent="0.25">
      <c r="A179" s="102"/>
      <c r="B179" s="130"/>
      <c r="C179" s="25" t="s">
        <v>299</v>
      </c>
      <c r="D179" s="137" t="s">
        <v>301</v>
      </c>
      <c r="E179" s="7" t="s">
        <v>247</v>
      </c>
      <c r="F179" s="146">
        <v>0.5</v>
      </c>
      <c r="G179" s="150" t="s">
        <v>37</v>
      </c>
      <c r="H179" s="146">
        <v>0.5</v>
      </c>
    </row>
    <row r="180" spans="1:8" ht="51" x14ac:dyDescent="0.25">
      <c r="A180" s="102"/>
      <c r="B180" s="130"/>
      <c r="C180" s="25" t="s">
        <v>299</v>
      </c>
      <c r="D180" s="137" t="s">
        <v>301</v>
      </c>
      <c r="E180" s="131" t="s">
        <v>302</v>
      </c>
      <c r="F180" s="146">
        <v>0.5</v>
      </c>
      <c r="G180" s="150" t="s">
        <v>37</v>
      </c>
      <c r="H180" s="146">
        <v>0.5</v>
      </c>
    </row>
    <row r="181" spans="1:8" ht="38.25" x14ac:dyDescent="0.25">
      <c r="A181" s="102"/>
      <c r="B181" s="130"/>
      <c r="C181" s="25" t="s">
        <v>299</v>
      </c>
      <c r="D181" s="137" t="s">
        <v>301</v>
      </c>
      <c r="E181" s="131" t="s">
        <v>303</v>
      </c>
      <c r="F181" s="146">
        <v>0.5</v>
      </c>
      <c r="G181" s="150" t="s">
        <v>188</v>
      </c>
      <c r="H181" s="146">
        <v>0.5</v>
      </c>
    </row>
    <row r="182" spans="1:8" x14ac:dyDescent="0.25">
      <c r="A182" s="102"/>
      <c r="B182" s="130"/>
      <c r="C182" s="25" t="s">
        <v>299</v>
      </c>
      <c r="D182" s="137" t="s">
        <v>301</v>
      </c>
      <c r="E182" s="121" t="s">
        <v>22</v>
      </c>
      <c r="F182" s="151">
        <v>0.25</v>
      </c>
      <c r="G182" s="139"/>
      <c r="H182" s="151">
        <v>0.25</v>
      </c>
    </row>
    <row r="183" spans="1:8" ht="38.25" x14ac:dyDescent="0.25">
      <c r="A183" s="102"/>
      <c r="B183" s="130"/>
      <c r="C183" s="25" t="s">
        <v>291</v>
      </c>
      <c r="D183" s="152" t="s">
        <v>304</v>
      </c>
      <c r="E183" s="152" t="s">
        <v>305</v>
      </c>
      <c r="F183" s="146">
        <v>0.25</v>
      </c>
      <c r="G183" s="150" t="s">
        <v>188</v>
      </c>
      <c r="H183" s="146">
        <v>0.25</v>
      </c>
    </row>
    <row r="184" spans="1:8" ht="38.25" x14ac:dyDescent="0.25">
      <c r="A184" s="102"/>
      <c r="B184" s="130"/>
      <c r="C184" s="25" t="s">
        <v>291</v>
      </c>
      <c r="D184" s="121" t="s">
        <v>306</v>
      </c>
      <c r="E184" s="121" t="s">
        <v>307</v>
      </c>
      <c r="F184" s="151">
        <v>0.25</v>
      </c>
      <c r="G184" s="150" t="s">
        <v>188</v>
      </c>
      <c r="H184" s="146">
        <v>0.25</v>
      </c>
    </row>
    <row r="185" spans="1:8" ht="38.25" x14ac:dyDescent="0.25">
      <c r="A185" s="102"/>
      <c r="B185" s="130"/>
      <c r="C185" s="25" t="s">
        <v>291</v>
      </c>
      <c r="D185" s="121" t="s">
        <v>308</v>
      </c>
      <c r="E185" s="153" t="s">
        <v>309</v>
      </c>
      <c r="F185" s="151">
        <v>0.25</v>
      </c>
      <c r="G185" s="150" t="s">
        <v>188</v>
      </c>
      <c r="H185" s="146">
        <v>0.25</v>
      </c>
    </row>
    <row r="186" spans="1:8" x14ac:dyDescent="0.25">
      <c r="A186" s="55"/>
      <c r="B186" s="50"/>
      <c r="C186" s="122"/>
      <c r="D186" s="148"/>
      <c r="E186" s="20"/>
      <c r="F186" s="149">
        <f>SUM(F175:F185)</f>
        <v>6</v>
      </c>
      <c r="G186" s="149"/>
      <c r="H186" s="149">
        <f>SUM(H175:H185)</f>
        <v>6</v>
      </c>
    </row>
    <row r="187" spans="1:8" x14ac:dyDescent="0.25">
      <c r="A187" s="102" t="s">
        <v>310</v>
      </c>
      <c r="B187" s="130" t="s">
        <v>311</v>
      </c>
      <c r="C187" s="25" t="s">
        <v>312</v>
      </c>
      <c r="D187" s="121" t="s">
        <v>313</v>
      </c>
      <c r="E187" s="121" t="s">
        <v>314</v>
      </c>
      <c r="F187" s="146">
        <v>1</v>
      </c>
      <c r="G187" s="27" t="s">
        <v>12</v>
      </c>
      <c r="H187" s="146">
        <v>1</v>
      </c>
    </row>
    <row r="188" spans="1:8" x14ac:dyDescent="0.25">
      <c r="A188" s="102"/>
      <c r="B188" s="130"/>
      <c r="C188" s="25" t="s">
        <v>315</v>
      </c>
      <c r="D188" s="121" t="s">
        <v>316</v>
      </c>
      <c r="E188" s="121" t="s">
        <v>317</v>
      </c>
      <c r="F188" s="146">
        <v>1</v>
      </c>
      <c r="G188" s="27" t="s">
        <v>12</v>
      </c>
      <c r="H188" s="146">
        <v>1</v>
      </c>
    </row>
    <row r="189" spans="1:8" x14ac:dyDescent="0.25">
      <c r="A189" s="102"/>
      <c r="B189" s="130"/>
      <c r="C189" s="25" t="s">
        <v>315</v>
      </c>
      <c r="D189" s="121" t="s">
        <v>316</v>
      </c>
      <c r="E189" s="121" t="s">
        <v>318</v>
      </c>
      <c r="F189" s="146">
        <v>1</v>
      </c>
      <c r="G189" s="27" t="s">
        <v>12</v>
      </c>
      <c r="H189" s="146">
        <v>1</v>
      </c>
    </row>
    <row r="190" spans="1:8" x14ac:dyDescent="0.25">
      <c r="A190" s="102"/>
      <c r="B190" s="130"/>
      <c r="C190" s="116" t="s">
        <v>319</v>
      </c>
      <c r="D190" s="121" t="s">
        <v>320</v>
      </c>
      <c r="E190" s="121" t="s">
        <v>321</v>
      </c>
      <c r="F190" s="146">
        <v>1</v>
      </c>
      <c r="G190" s="27" t="s">
        <v>12</v>
      </c>
      <c r="H190" s="146">
        <v>1</v>
      </c>
    </row>
    <row r="191" spans="1:8" ht="51" x14ac:dyDescent="0.25">
      <c r="A191" s="102"/>
      <c r="B191" s="130"/>
      <c r="C191" s="116" t="s">
        <v>319</v>
      </c>
      <c r="D191" s="121" t="s">
        <v>320</v>
      </c>
      <c r="E191" s="121" t="s">
        <v>321</v>
      </c>
      <c r="F191" s="146">
        <v>0.25</v>
      </c>
      <c r="G191" s="150" t="s">
        <v>37</v>
      </c>
      <c r="H191" s="146">
        <v>0.25</v>
      </c>
    </row>
    <row r="192" spans="1:8" x14ac:dyDescent="0.25">
      <c r="A192" s="102"/>
      <c r="B192" s="130"/>
      <c r="C192" s="116" t="s">
        <v>319</v>
      </c>
      <c r="D192" s="121" t="s">
        <v>320</v>
      </c>
      <c r="E192" s="121" t="s">
        <v>322</v>
      </c>
      <c r="F192" s="146">
        <v>1</v>
      </c>
      <c r="G192" s="27" t="s">
        <v>12</v>
      </c>
      <c r="H192" s="146">
        <v>1</v>
      </c>
    </row>
    <row r="193" spans="1:8" ht="51" x14ac:dyDescent="0.25">
      <c r="A193" s="102"/>
      <c r="B193" s="130"/>
      <c r="C193" s="116" t="s">
        <v>319</v>
      </c>
      <c r="D193" s="121" t="s">
        <v>320</v>
      </c>
      <c r="E193" s="121" t="s">
        <v>322</v>
      </c>
      <c r="F193" s="146">
        <v>0.25</v>
      </c>
      <c r="G193" s="150" t="s">
        <v>37</v>
      </c>
      <c r="H193" s="146">
        <v>0.25</v>
      </c>
    </row>
    <row r="194" spans="1:8" x14ac:dyDescent="0.25">
      <c r="A194" s="102"/>
      <c r="B194" s="130"/>
      <c r="C194" s="116" t="s">
        <v>319</v>
      </c>
      <c r="D194" s="121" t="s">
        <v>320</v>
      </c>
      <c r="E194" s="121" t="s">
        <v>323</v>
      </c>
      <c r="F194" s="146">
        <v>1</v>
      </c>
      <c r="G194" s="27" t="s">
        <v>12</v>
      </c>
      <c r="H194" s="146">
        <v>1</v>
      </c>
    </row>
    <row r="195" spans="1:8" ht="51" x14ac:dyDescent="0.25">
      <c r="A195" s="102"/>
      <c r="B195" s="130"/>
      <c r="C195" s="116" t="s">
        <v>319</v>
      </c>
      <c r="D195" s="121" t="s">
        <v>320</v>
      </c>
      <c r="E195" s="121" t="s">
        <v>323</v>
      </c>
      <c r="F195" s="146">
        <v>0.25</v>
      </c>
      <c r="G195" s="150" t="s">
        <v>37</v>
      </c>
      <c r="H195" s="146">
        <v>0.25</v>
      </c>
    </row>
    <row r="196" spans="1:8" ht="38.25" x14ac:dyDescent="0.25">
      <c r="A196" s="102"/>
      <c r="B196" s="130"/>
      <c r="C196" s="116" t="s">
        <v>319</v>
      </c>
      <c r="D196" s="121" t="s">
        <v>320</v>
      </c>
      <c r="E196" s="121" t="s">
        <v>324</v>
      </c>
      <c r="F196" s="146">
        <v>0.5</v>
      </c>
      <c r="G196" s="150" t="s">
        <v>188</v>
      </c>
      <c r="H196" s="146">
        <v>0.5</v>
      </c>
    </row>
    <row r="197" spans="1:8" ht="38.25" x14ac:dyDescent="0.25">
      <c r="A197" s="102"/>
      <c r="B197" s="130"/>
      <c r="C197" s="116" t="s">
        <v>319</v>
      </c>
      <c r="D197" s="121" t="s">
        <v>320</v>
      </c>
      <c r="E197" s="121" t="s">
        <v>325</v>
      </c>
      <c r="F197" s="146">
        <v>0.5</v>
      </c>
      <c r="G197" s="150" t="s">
        <v>188</v>
      </c>
      <c r="H197" s="146">
        <v>0.5</v>
      </c>
    </row>
    <row r="198" spans="1:8" x14ac:dyDescent="0.25">
      <c r="A198" s="102"/>
      <c r="B198" s="130"/>
      <c r="C198" s="116" t="s">
        <v>319</v>
      </c>
      <c r="D198" s="121" t="s">
        <v>320</v>
      </c>
      <c r="E198" s="121" t="s">
        <v>22</v>
      </c>
      <c r="F198" s="146">
        <v>0.75</v>
      </c>
      <c r="G198" s="139"/>
      <c r="H198" s="146">
        <v>0.75</v>
      </c>
    </row>
    <row r="199" spans="1:8" x14ac:dyDescent="0.25">
      <c r="A199" s="55"/>
      <c r="B199" s="50"/>
      <c r="C199" s="122"/>
      <c r="D199" s="148"/>
      <c r="E199" s="20"/>
      <c r="F199" s="149">
        <f>SUM(F187:F198)</f>
        <v>8.5</v>
      </c>
      <c r="G199" s="149"/>
      <c r="H199" s="149">
        <f>SUM(H187:H198)</f>
        <v>8.5</v>
      </c>
    </row>
    <row r="200" spans="1:8" ht="63.75" x14ac:dyDescent="0.25">
      <c r="A200" s="81" t="s">
        <v>326</v>
      </c>
      <c r="B200" s="154" t="s">
        <v>327</v>
      </c>
      <c r="C200" s="25" t="s">
        <v>291</v>
      </c>
      <c r="D200" s="121" t="s">
        <v>248</v>
      </c>
      <c r="E200" s="121" t="s">
        <v>249</v>
      </c>
      <c r="F200" s="146">
        <v>0.5</v>
      </c>
      <c r="G200" s="146" t="s">
        <v>12</v>
      </c>
      <c r="H200" s="146">
        <v>0.5</v>
      </c>
    </row>
    <row r="201" spans="1:8" x14ac:dyDescent="0.25">
      <c r="A201" s="55"/>
      <c r="B201" s="50"/>
      <c r="C201" s="122"/>
      <c r="D201" s="148"/>
      <c r="E201" s="20"/>
      <c r="F201" s="149">
        <f>SUM(F200:F200)</f>
        <v>0.5</v>
      </c>
      <c r="G201" s="149"/>
      <c r="H201" s="149">
        <f>SUM(H200:H200)</f>
        <v>0.5</v>
      </c>
    </row>
    <row r="202" spans="1:8" ht="38.25" x14ac:dyDescent="0.25">
      <c r="A202" s="102" t="s">
        <v>328</v>
      </c>
      <c r="B202" s="130" t="s">
        <v>329</v>
      </c>
      <c r="C202" s="25" t="s">
        <v>291</v>
      </c>
      <c r="D202" s="121" t="s">
        <v>330</v>
      </c>
      <c r="E202" s="121" t="s">
        <v>331</v>
      </c>
      <c r="F202" s="139">
        <v>0.25</v>
      </c>
      <c r="G202" s="150" t="s">
        <v>188</v>
      </c>
      <c r="H202" s="139">
        <v>0.25</v>
      </c>
    </row>
    <row r="203" spans="1:8" x14ac:dyDescent="0.25">
      <c r="A203" s="102"/>
      <c r="B203" s="130"/>
      <c r="C203" s="25" t="s">
        <v>319</v>
      </c>
      <c r="D203" s="121" t="s">
        <v>332</v>
      </c>
      <c r="E203" s="121" t="s">
        <v>235</v>
      </c>
      <c r="F203" s="139">
        <v>0.5</v>
      </c>
      <c r="G203" s="139" t="s">
        <v>12</v>
      </c>
      <c r="H203" s="139">
        <v>0.5</v>
      </c>
    </row>
    <row r="204" spans="1:8" x14ac:dyDescent="0.25">
      <c r="A204" s="55"/>
      <c r="B204" s="50"/>
      <c r="C204" s="122"/>
      <c r="D204" s="148"/>
      <c r="E204" s="20"/>
      <c r="F204" s="149">
        <f>SUM(F202:F203)</f>
        <v>0.75</v>
      </c>
      <c r="G204" s="149"/>
      <c r="H204" s="149">
        <f>SUM(H202:H203)</f>
        <v>0.75</v>
      </c>
    </row>
    <row r="205" spans="1:8" ht="89.25" x14ac:dyDescent="0.25">
      <c r="A205" s="102" t="s">
        <v>333</v>
      </c>
      <c r="B205" s="130" t="s">
        <v>334</v>
      </c>
      <c r="C205" s="25" t="s">
        <v>291</v>
      </c>
      <c r="D205" s="155" t="s">
        <v>335</v>
      </c>
      <c r="E205" s="121" t="s">
        <v>336</v>
      </c>
      <c r="F205" s="146">
        <v>0.25</v>
      </c>
      <c r="G205" s="156" t="s">
        <v>188</v>
      </c>
      <c r="H205" s="146">
        <v>0.25</v>
      </c>
    </row>
    <row r="206" spans="1:8" x14ac:dyDescent="0.25">
      <c r="A206" s="102"/>
      <c r="B206" s="130"/>
      <c r="C206" s="116" t="s">
        <v>337</v>
      </c>
      <c r="D206" s="121" t="s">
        <v>338</v>
      </c>
      <c r="E206" s="153" t="s">
        <v>339</v>
      </c>
      <c r="F206" s="146">
        <v>1</v>
      </c>
      <c r="G206" s="139" t="s">
        <v>12</v>
      </c>
      <c r="H206" s="146">
        <v>1</v>
      </c>
    </row>
    <row r="207" spans="1:8" ht="63.75" x14ac:dyDescent="0.25">
      <c r="A207" s="102"/>
      <c r="B207" s="130"/>
      <c r="C207" s="116" t="s">
        <v>337</v>
      </c>
      <c r="D207" s="121" t="s">
        <v>338</v>
      </c>
      <c r="E207" s="42" t="s">
        <v>340</v>
      </c>
      <c r="F207" s="139">
        <v>0.75</v>
      </c>
      <c r="G207" s="139" t="s">
        <v>12</v>
      </c>
      <c r="H207" s="139">
        <v>0.75</v>
      </c>
    </row>
    <row r="208" spans="1:8" x14ac:dyDescent="0.25">
      <c r="A208" s="102"/>
      <c r="B208" s="130"/>
      <c r="C208" s="116" t="s">
        <v>337</v>
      </c>
      <c r="D208" s="121" t="s">
        <v>338</v>
      </c>
      <c r="E208" s="121" t="s">
        <v>341</v>
      </c>
      <c r="F208" s="146">
        <v>0.75</v>
      </c>
      <c r="G208" s="139" t="s">
        <v>12</v>
      </c>
      <c r="H208" s="146">
        <v>0.75</v>
      </c>
    </row>
    <row r="209" spans="1:8" x14ac:dyDescent="0.25">
      <c r="A209" s="102"/>
      <c r="B209" s="130"/>
      <c r="C209" s="116" t="s">
        <v>337</v>
      </c>
      <c r="D209" s="121" t="s">
        <v>338</v>
      </c>
      <c r="E209" s="121" t="s">
        <v>22</v>
      </c>
      <c r="F209" s="139">
        <v>0.5</v>
      </c>
      <c r="G209" s="139"/>
      <c r="H209" s="139">
        <v>0.5</v>
      </c>
    </row>
    <row r="210" spans="1:8" x14ac:dyDescent="0.25">
      <c r="A210" s="102"/>
      <c r="B210" s="130"/>
      <c r="C210" s="6" t="s">
        <v>123</v>
      </c>
      <c r="D210" s="121" t="s">
        <v>159</v>
      </c>
      <c r="E210" s="121" t="s">
        <v>342</v>
      </c>
      <c r="F210" s="146">
        <v>0.25</v>
      </c>
      <c r="G210" s="146" t="s">
        <v>12</v>
      </c>
      <c r="H210" s="146">
        <v>0.25</v>
      </c>
    </row>
    <row r="211" spans="1:8" x14ac:dyDescent="0.25">
      <c r="A211" s="55"/>
      <c r="B211" s="50"/>
      <c r="C211" s="122"/>
      <c r="D211" s="148"/>
      <c r="E211" s="20"/>
      <c r="F211" s="149">
        <f>SUM(F205:F210)</f>
        <v>3.5</v>
      </c>
      <c r="G211" s="149"/>
      <c r="H211" s="149">
        <f>SUM(H205:H210)</f>
        <v>3.5</v>
      </c>
    </row>
    <row r="212" spans="1:8" ht="39" x14ac:dyDescent="0.25">
      <c r="A212" s="102" t="s">
        <v>343</v>
      </c>
      <c r="B212" s="130" t="s">
        <v>344</v>
      </c>
      <c r="C212" s="25" t="s">
        <v>291</v>
      </c>
      <c r="D212" s="121" t="s">
        <v>345</v>
      </c>
      <c r="E212" s="121" t="s">
        <v>346</v>
      </c>
      <c r="F212" s="146">
        <v>0.25</v>
      </c>
      <c r="G212" s="156" t="s">
        <v>188</v>
      </c>
      <c r="H212" s="146">
        <v>0.25</v>
      </c>
    </row>
    <row r="213" spans="1:8" ht="39" x14ac:dyDescent="0.25">
      <c r="A213" s="102"/>
      <c r="B213" s="130"/>
      <c r="C213" s="25" t="s">
        <v>347</v>
      </c>
      <c r="D213" s="121" t="s">
        <v>348</v>
      </c>
      <c r="E213" s="121" t="s">
        <v>349</v>
      </c>
      <c r="F213" s="146">
        <v>0.25</v>
      </c>
      <c r="G213" s="156" t="s">
        <v>188</v>
      </c>
      <c r="H213" s="146">
        <v>0.25</v>
      </c>
    </row>
    <row r="214" spans="1:8" x14ac:dyDescent="0.25">
      <c r="A214" s="55"/>
      <c r="B214" s="50"/>
      <c r="C214" s="122"/>
      <c r="D214" s="148"/>
      <c r="E214" s="148"/>
      <c r="F214" s="149">
        <f>F212+F213</f>
        <v>0.5</v>
      </c>
      <c r="G214" s="149"/>
      <c r="H214" s="149">
        <f>H212+H213</f>
        <v>0.5</v>
      </c>
    </row>
    <row r="215" spans="1:8" ht="39" x14ac:dyDescent="0.25">
      <c r="A215" s="102" t="s">
        <v>350</v>
      </c>
      <c r="B215" s="130" t="s">
        <v>351</v>
      </c>
      <c r="C215" s="25" t="s">
        <v>352</v>
      </c>
      <c r="D215" s="121" t="s">
        <v>353</v>
      </c>
      <c r="E215" s="121" t="s">
        <v>354</v>
      </c>
      <c r="F215" s="146">
        <v>0.25</v>
      </c>
      <c r="G215" s="156" t="s">
        <v>188</v>
      </c>
      <c r="H215" s="146">
        <v>0.25</v>
      </c>
    </row>
    <row r="216" spans="1:8" x14ac:dyDescent="0.25">
      <c r="A216" s="102"/>
      <c r="B216" s="130"/>
      <c r="C216" s="25" t="s">
        <v>355</v>
      </c>
      <c r="D216" s="121" t="s">
        <v>356</v>
      </c>
      <c r="E216" s="121" t="s">
        <v>357</v>
      </c>
      <c r="F216" s="146">
        <v>1</v>
      </c>
      <c r="G216" s="27" t="s">
        <v>12</v>
      </c>
      <c r="H216" s="146">
        <v>1</v>
      </c>
    </row>
    <row r="217" spans="1:8" x14ac:dyDescent="0.25">
      <c r="A217" s="55"/>
      <c r="B217" s="50"/>
      <c r="C217" s="122"/>
      <c r="D217" s="148"/>
      <c r="E217" s="148"/>
      <c r="F217" s="149">
        <f>SUM(F215:F216)</f>
        <v>1.25</v>
      </c>
      <c r="G217" s="149"/>
      <c r="H217" s="149">
        <f>SUM(H215:H216)</f>
        <v>1.25</v>
      </c>
    </row>
    <row r="218" spans="1:8" x14ac:dyDescent="0.25">
      <c r="A218" s="157"/>
      <c r="B218" s="59"/>
      <c r="C218" s="122"/>
      <c r="D218" s="148"/>
      <c r="E218" s="148"/>
      <c r="F218" s="149">
        <f>F186+F199+F201+F204+F211+F214+F217</f>
        <v>21</v>
      </c>
      <c r="G218" s="149"/>
      <c r="H218" s="149">
        <f>H186+H199+H201+H204+H211+H214+H217</f>
        <v>21</v>
      </c>
    </row>
    <row r="219" spans="1:8" x14ac:dyDescent="0.25">
      <c r="A219" s="83" t="s">
        <v>358</v>
      </c>
      <c r="B219" s="158" t="s">
        <v>359</v>
      </c>
      <c r="C219" s="25" t="s">
        <v>360</v>
      </c>
      <c r="D219" s="121" t="s">
        <v>361</v>
      </c>
      <c r="E219" s="121" t="s">
        <v>362</v>
      </c>
      <c r="F219" s="146">
        <v>0.5</v>
      </c>
      <c r="G219" s="146" t="s">
        <v>46</v>
      </c>
      <c r="H219" s="146">
        <v>0.5</v>
      </c>
    </row>
    <row r="220" spans="1:8" ht="102" x14ac:dyDescent="0.25">
      <c r="A220" s="86"/>
      <c r="B220" s="159"/>
      <c r="C220" s="98" t="s">
        <v>360</v>
      </c>
      <c r="D220" s="42" t="s">
        <v>363</v>
      </c>
      <c r="E220" s="121" t="s">
        <v>364</v>
      </c>
      <c r="F220" s="139">
        <v>0.5</v>
      </c>
      <c r="G220" s="139" t="s">
        <v>46</v>
      </c>
      <c r="H220" s="139">
        <v>0.5</v>
      </c>
    </row>
    <row r="221" spans="1:8" x14ac:dyDescent="0.25">
      <c r="A221" s="86"/>
      <c r="B221" s="159"/>
      <c r="C221" s="98" t="s">
        <v>360</v>
      </c>
      <c r="D221" s="42" t="s">
        <v>365</v>
      </c>
      <c r="E221" s="121" t="s">
        <v>366</v>
      </c>
      <c r="F221" s="139">
        <v>1</v>
      </c>
      <c r="G221" s="139" t="s">
        <v>12</v>
      </c>
      <c r="H221" s="139">
        <v>1</v>
      </c>
    </row>
    <row r="222" spans="1:8" ht="114.75" x14ac:dyDescent="0.25">
      <c r="A222" s="86"/>
      <c r="B222" s="159"/>
      <c r="C222" s="98" t="s">
        <v>360</v>
      </c>
      <c r="D222" s="155" t="s">
        <v>367</v>
      </c>
      <c r="E222" s="131" t="s">
        <v>368</v>
      </c>
      <c r="F222" s="139">
        <v>0.25</v>
      </c>
      <c r="G222" s="139" t="s">
        <v>46</v>
      </c>
      <c r="H222" s="160">
        <v>0.25</v>
      </c>
    </row>
    <row r="223" spans="1:8" x14ac:dyDescent="0.25">
      <c r="A223" s="86"/>
      <c r="B223" s="159"/>
      <c r="C223" s="25" t="s">
        <v>57</v>
      </c>
      <c r="D223" s="121" t="s">
        <v>369</v>
      </c>
      <c r="E223" s="121" t="s">
        <v>370</v>
      </c>
      <c r="F223" s="146">
        <v>1</v>
      </c>
      <c r="G223" s="27" t="s">
        <v>12</v>
      </c>
      <c r="H223" s="146">
        <v>1</v>
      </c>
    </row>
    <row r="224" spans="1:8" x14ac:dyDescent="0.25">
      <c r="A224" s="86"/>
      <c r="B224" s="159"/>
      <c r="C224" s="25" t="s">
        <v>57</v>
      </c>
      <c r="D224" s="121" t="s">
        <v>369</v>
      </c>
      <c r="E224" s="121" t="s">
        <v>371</v>
      </c>
      <c r="F224" s="146">
        <v>1</v>
      </c>
      <c r="G224" s="27" t="s">
        <v>12</v>
      </c>
      <c r="H224" s="146">
        <v>1</v>
      </c>
    </row>
    <row r="225" spans="1:8" x14ac:dyDescent="0.25">
      <c r="A225" s="89"/>
      <c r="B225" s="161"/>
      <c r="C225" s="25" t="s">
        <v>123</v>
      </c>
      <c r="D225" s="121" t="s">
        <v>372</v>
      </c>
      <c r="E225" s="121" t="s">
        <v>373</v>
      </c>
      <c r="F225" s="146">
        <v>1</v>
      </c>
      <c r="G225" s="27" t="s">
        <v>12</v>
      </c>
      <c r="H225" s="146">
        <v>1</v>
      </c>
    </row>
    <row r="226" spans="1:8" x14ac:dyDescent="0.25">
      <c r="A226" s="55"/>
      <c r="B226" s="50"/>
      <c r="C226" s="122"/>
      <c r="D226" s="148"/>
      <c r="E226" s="148"/>
      <c r="F226" s="149">
        <f>SUM(F219:F225)</f>
        <v>5.25</v>
      </c>
      <c r="G226" s="149"/>
      <c r="H226" s="149">
        <f>SUM(H219:H225)</f>
        <v>5.25</v>
      </c>
    </row>
    <row r="227" spans="1:8" x14ac:dyDescent="0.25">
      <c r="A227" s="55"/>
      <c r="B227" s="162"/>
      <c r="C227" s="18"/>
      <c r="D227" s="119"/>
      <c r="E227" s="20"/>
      <c r="F227" s="36">
        <f>F168+F173+F218+F226</f>
        <v>33.5</v>
      </c>
      <c r="G227" s="36"/>
      <c r="H227" s="163">
        <f>H168+H173+H218+H226</f>
        <v>33.5</v>
      </c>
    </row>
    <row r="228" spans="1:8" x14ac:dyDescent="0.25">
      <c r="A228" s="72" t="s">
        <v>374</v>
      </c>
      <c r="B228" s="118"/>
      <c r="C228" s="18"/>
      <c r="D228" s="119"/>
      <c r="E228" s="20"/>
      <c r="F228" s="36">
        <f>F59+F70+F79+F91+F108+F113+F118+F120+F127+F133+F152+F227</f>
        <v>90.5</v>
      </c>
      <c r="G228" s="36"/>
      <c r="H228" s="36">
        <f>H59+H70+H79+H91+H108+H113+H118+H120+H127+H133+H152+H227</f>
        <v>90.5</v>
      </c>
    </row>
    <row r="229" spans="1:8" ht="102" x14ac:dyDescent="0.25">
      <c r="A229" s="79" t="s">
        <v>375</v>
      </c>
      <c r="B229" s="35" t="s">
        <v>376</v>
      </c>
      <c r="C229" s="18" t="s">
        <v>16</v>
      </c>
      <c r="D229" s="20" t="s">
        <v>121</v>
      </c>
      <c r="E229" s="153" t="s">
        <v>377</v>
      </c>
      <c r="F229" s="164">
        <v>1</v>
      </c>
      <c r="G229" s="164" t="s">
        <v>12</v>
      </c>
      <c r="H229" s="164">
        <v>1</v>
      </c>
    </row>
    <row r="230" spans="1:8" ht="102" x14ac:dyDescent="0.25">
      <c r="A230" s="127" t="s">
        <v>360</v>
      </c>
      <c r="B230" s="108" t="s">
        <v>378</v>
      </c>
      <c r="C230" s="6" t="s">
        <v>127</v>
      </c>
      <c r="D230" s="7" t="s">
        <v>379</v>
      </c>
      <c r="E230" s="38" t="s">
        <v>380</v>
      </c>
      <c r="F230" s="27">
        <v>1</v>
      </c>
      <c r="G230" s="27" t="s">
        <v>12</v>
      </c>
      <c r="H230" s="27">
        <v>1</v>
      </c>
    </row>
    <row r="231" spans="1:8" ht="102" x14ac:dyDescent="0.25">
      <c r="A231" s="102" t="s">
        <v>381</v>
      </c>
      <c r="B231" s="130" t="s">
        <v>382</v>
      </c>
      <c r="C231" s="6" t="s">
        <v>130</v>
      </c>
      <c r="D231" s="7" t="s">
        <v>383</v>
      </c>
      <c r="E231" s="38" t="s">
        <v>384</v>
      </c>
      <c r="F231" s="27">
        <v>1</v>
      </c>
      <c r="G231" s="27" t="s">
        <v>12</v>
      </c>
      <c r="H231" s="27">
        <v>1</v>
      </c>
    </row>
    <row r="232" spans="1:8" ht="51" x14ac:dyDescent="0.25">
      <c r="A232" s="102"/>
      <c r="B232" s="130"/>
      <c r="C232" s="25" t="s">
        <v>385</v>
      </c>
      <c r="D232" s="7" t="s">
        <v>386</v>
      </c>
      <c r="E232" s="38" t="s">
        <v>387</v>
      </c>
      <c r="F232" s="27">
        <v>1</v>
      </c>
      <c r="G232" s="27" t="s">
        <v>12</v>
      </c>
      <c r="H232" s="27">
        <v>1</v>
      </c>
    </row>
    <row r="233" spans="1:8" ht="51" x14ac:dyDescent="0.25">
      <c r="A233" s="102"/>
      <c r="B233" s="130"/>
      <c r="C233" s="6" t="s">
        <v>193</v>
      </c>
      <c r="D233" s="7" t="s">
        <v>194</v>
      </c>
      <c r="E233" s="7" t="s">
        <v>388</v>
      </c>
      <c r="F233" s="27">
        <v>0.5</v>
      </c>
      <c r="G233" s="27" t="s">
        <v>46</v>
      </c>
      <c r="H233" s="27">
        <v>0.5</v>
      </c>
    </row>
    <row r="234" spans="1:8" ht="63.75" x14ac:dyDescent="0.25">
      <c r="A234" s="102"/>
      <c r="B234" s="130"/>
      <c r="C234" s="25" t="s">
        <v>352</v>
      </c>
      <c r="D234" s="7" t="s">
        <v>389</v>
      </c>
      <c r="E234" s="7" t="s">
        <v>390</v>
      </c>
      <c r="F234" s="27">
        <v>1</v>
      </c>
      <c r="G234" s="27" t="s">
        <v>12</v>
      </c>
      <c r="H234" s="27">
        <v>1</v>
      </c>
    </row>
    <row r="235" spans="1:8" ht="63.75" x14ac:dyDescent="0.25">
      <c r="A235" s="102"/>
      <c r="B235" s="130"/>
      <c r="C235" s="165" t="s">
        <v>132</v>
      </c>
      <c r="D235" s="26" t="s">
        <v>391</v>
      </c>
      <c r="E235" s="7" t="s">
        <v>392</v>
      </c>
      <c r="F235" s="27">
        <v>0.5</v>
      </c>
      <c r="G235" s="27" t="s">
        <v>12</v>
      </c>
      <c r="H235" s="27">
        <v>0.5</v>
      </c>
    </row>
    <row r="236" spans="1:8" ht="38.25" x14ac:dyDescent="0.25">
      <c r="A236" s="102"/>
      <c r="B236" s="130"/>
      <c r="C236" s="166"/>
      <c r="D236" s="26" t="s">
        <v>391</v>
      </c>
      <c r="E236" s="121" t="s">
        <v>22</v>
      </c>
      <c r="F236" s="27">
        <v>1.5</v>
      </c>
      <c r="G236" s="90"/>
      <c r="H236" s="27">
        <v>1.5</v>
      </c>
    </row>
    <row r="237" spans="1:8" ht="63.75" x14ac:dyDescent="0.25">
      <c r="A237" s="102"/>
      <c r="B237" s="130"/>
      <c r="C237" s="116" t="s">
        <v>233</v>
      </c>
      <c r="D237" s="7" t="s">
        <v>234</v>
      </c>
      <c r="E237" s="7" t="s">
        <v>393</v>
      </c>
      <c r="F237" s="167">
        <v>1</v>
      </c>
      <c r="G237" s="27" t="s">
        <v>12</v>
      </c>
      <c r="H237" s="167">
        <v>1</v>
      </c>
    </row>
    <row r="238" spans="1:8" ht="63.75" x14ac:dyDescent="0.25">
      <c r="A238" s="102"/>
      <c r="B238" s="130"/>
      <c r="C238" s="116" t="s">
        <v>233</v>
      </c>
      <c r="D238" s="7" t="s">
        <v>234</v>
      </c>
      <c r="E238" s="7" t="s">
        <v>394</v>
      </c>
      <c r="F238" s="167">
        <v>0.75</v>
      </c>
      <c r="G238" s="27"/>
      <c r="H238" s="167">
        <v>0.75</v>
      </c>
    </row>
    <row r="239" spans="1:8" ht="63.75" x14ac:dyDescent="0.25">
      <c r="A239" s="102"/>
      <c r="B239" s="130"/>
      <c r="C239" s="116" t="s">
        <v>24</v>
      </c>
      <c r="D239" s="26" t="s">
        <v>395</v>
      </c>
      <c r="E239" s="8" t="s">
        <v>108</v>
      </c>
      <c r="F239" s="167">
        <v>0.5</v>
      </c>
      <c r="G239" s="90" t="s">
        <v>46</v>
      </c>
      <c r="H239" s="167">
        <v>0.5</v>
      </c>
    </row>
    <row r="240" spans="1:8" ht="63.75" x14ac:dyDescent="0.25">
      <c r="A240" s="102"/>
      <c r="B240" s="130"/>
      <c r="C240" s="116" t="s">
        <v>24</v>
      </c>
      <c r="D240" s="26" t="s">
        <v>395</v>
      </c>
      <c r="E240" s="8" t="s">
        <v>384</v>
      </c>
      <c r="F240" s="27">
        <v>0.5</v>
      </c>
      <c r="G240" s="90" t="s">
        <v>46</v>
      </c>
      <c r="H240" s="27">
        <v>0.5</v>
      </c>
    </row>
    <row r="241" spans="1:8" ht="102" x14ac:dyDescent="0.25">
      <c r="A241" s="120" t="s">
        <v>396</v>
      </c>
      <c r="B241" s="130" t="s">
        <v>397</v>
      </c>
      <c r="C241" s="98" t="s">
        <v>185</v>
      </c>
      <c r="D241" s="26" t="s">
        <v>186</v>
      </c>
      <c r="E241" s="26" t="s">
        <v>398</v>
      </c>
      <c r="F241" s="49">
        <v>0.5</v>
      </c>
      <c r="G241" s="49" t="s">
        <v>46</v>
      </c>
      <c r="H241" s="49">
        <v>0.5</v>
      </c>
    </row>
    <row r="242" spans="1:8" ht="63.75" x14ac:dyDescent="0.25">
      <c r="A242" s="120"/>
      <c r="B242" s="130"/>
      <c r="C242" s="25" t="s">
        <v>385</v>
      </c>
      <c r="D242" s="7" t="s">
        <v>386</v>
      </c>
      <c r="E242" s="8" t="s">
        <v>45</v>
      </c>
      <c r="F242" s="27">
        <v>1</v>
      </c>
      <c r="G242" s="27" t="s">
        <v>12</v>
      </c>
      <c r="H242" s="27">
        <v>1</v>
      </c>
    </row>
    <row r="243" spans="1:8" ht="63.75" x14ac:dyDescent="0.25">
      <c r="A243" s="120"/>
      <c r="B243" s="130"/>
      <c r="C243" s="25" t="s">
        <v>86</v>
      </c>
      <c r="D243" s="7" t="s">
        <v>399</v>
      </c>
      <c r="E243" s="8" t="s">
        <v>400</v>
      </c>
      <c r="F243" s="27">
        <v>0.5</v>
      </c>
      <c r="G243" s="27" t="s">
        <v>12</v>
      </c>
      <c r="H243" s="27">
        <v>0.5</v>
      </c>
    </row>
    <row r="244" spans="1:8" ht="63.75" x14ac:dyDescent="0.25">
      <c r="A244" s="120"/>
      <c r="B244" s="130"/>
      <c r="C244" s="116" t="s">
        <v>385</v>
      </c>
      <c r="D244" s="7" t="s">
        <v>401</v>
      </c>
      <c r="E244" s="8" t="s">
        <v>402</v>
      </c>
      <c r="F244" s="27">
        <v>0.25</v>
      </c>
      <c r="G244" s="27" t="s">
        <v>12</v>
      </c>
      <c r="H244" s="27">
        <v>0.25</v>
      </c>
    </row>
    <row r="245" spans="1:8" ht="76.5" x14ac:dyDescent="0.25">
      <c r="A245" s="120"/>
      <c r="B245" s="130"/>
      <c r="C245" s="116" t="s">
        <v>385</v>
      </c>
      <c r="D245" s="7" t="s">
        <v>401</v>
      </c>
      <c r="E245" s="8" t="s">
        <v>403</v>
      </c>
      <c r="F245" s="27">
        <v>0.5</v>
      </c>
      <c r="G245" s="27" t="s">
        <v>12</v>
      </c>
      <c r="H245" s="27">
        <v>0.5</v>
      </c>
    </row>
    <row r="246" spans="1:8" ht="76.5" x14ac:dyDescent="0.25">
      <c r="A246" s="120"/>
      <c r="B246" s="130"/>
      <c r="C246" s="98" t="s">
        <v>132</v>
      </c>
      <c r="D246" s="7" t="s">
        <v>133</v>
      </c>
      <c r="E246" s="8" t="s">
        <v>404</v>
      </c>
      <c r="F246" s="27">
        <v>1</v>
      </c>
      <c r="G246" s="27" t="s">
        <v>12</v>
      </c>
      <c r="H246" s="27">
        <v>1</v>
      </c>
    </row>
    <row r="247" spans="1:8" ht="63.75" x14ac:dyDescent="0.25">
      <c r="A247" s="120"/>
      <c r="B247" s="130"/>
      <c r="C247" s="98" t="s">
        <v>132</v>
      </c>
      <c r="D247" s="7" t="s">
        <v>133</v>
      </c>
      <c r="E247" s="8" t="s">
        <v>394</v>
      </c>
      <c r="F247" s="27">
        <v>1</v>
      </c>
      <c r="G247" s="27" t="s">
        <v>12</v>
      </c>
      <c r="H247" s="27">
        <v>1</v>
      </c>
    </row>
    <row r="248" spans="1:8" ht="63.75" x14ac:dyDescent="0.25">
      <c r="A248" s="120"/>
      <c r="B248" s="130"/>
      <c r="C248" s="98" t="s">
        <v>132</v>
      </c>
      <c r="D248" s="7" t="s">
        <v>133</v>
      </c>
      <c r="E248" s="8" t="s">
        <v>405</v>
      </c>
      <c r="F248" s="27">
        <v>0.25</v>
      </c>
      <c r="G248" s="27" t="s">
        <v>46</v>
      </c>
      <c r="H248" s="27">
        <v>0.25</v>
      </c>
    </row>
    <row r="249" spans="1:8" ht="51" x14ac:dyDescent="0.25">
      <c r="A249" s="120"/>
      <c r="B249" s="130"/>
      <c r="C249" s="98" t="s">
        <v>132</v>
      </c>
      <c r="D249" s="7" t="s">
        <v>133</v>
      </c>
      <c r="E249" s="8" t="s">
        <v>406</v>
      </c>
      <c r="F249" s="27">
        <v>1</v>
      </c>
      <c r="G249" s="27" t="s">
        <v>12</v>
      </c>
      <c r="H249" s="27">
        <v>1</v>
      </c>
    </row>
    <row r="250" spans="1:8" ht="76.5" x14ac:dyDescent="0.25">
      <c r="A250" s="120"/>
      <c r="B250" s="130"/>
      <c r="C250" s="98" t="s">
        <v>132</v>
      </c>
      <c r="D250" s="7" t="s">
        <v>133</v>
      </c>
      <c r="E250" s="8" t="s">
        <v>407</v>
      </c>
      <c r="F250" s="27">
        <v>1</v>
      </c>
      <c r="G250" s="27" t="s">
        <v>12</v>
      </c>
      <c r="H250" s="27">
        <v>1</v>
      </c>
    </row>
    <row r="251" spans="1:8" ht="63.75" x14ac:dyDescent="0.25">
      <c r="A251" s="120"/>
      <c r="B251" s="130"/>
      <c r="C251" s="25" t="s">
        <v>132</v>
      </c>
      <c r="D251" s="26" t="s">
        <v>391</v>
      </c>
      <c r="E251" s="8" t="s">
        <v>408</v>
      </c>
      <c r="F251" s="49">
        <v>1</v>
      </c>
      <c r="G251" s="27" t="s">
        <v>12</v>
      </c>
      <c r="H251" s="27">
        <v>1</v>
      </c>
    </row>
    <row r="252" spans="1:8" ht="102" x14ac:dyDescent="0.25">
      <c r="A252" s="102" t="s">
        <v>409</v>
      </c>
      <c r="B252" s="130" t="s">
        <v>410</v>
      </c>
      <c r="C252" s="6" t="s">
        <v>185</v>
      </c>
      <c r="D252" s="7" t="s">
        <v>203</v>
      </c>
      <c r="E252" s="8" t="s">
        <v>411</v>
      </c>
      <c r="F252" s="27">
        <v>1</v>
      </c>
      <c r="G252" s="27" t="s">
        <v>12</v>
      </c>
      <c r="H252" s="27">
        <v>1</v>
      </c>
    </row>
    <row r="253" spans="1:8" ht="76.5" x14ac:dyDescent="0.25">
      <c r="A253" s="102"/>
      <c r="B253" s="130"/>
      <c r="C253" s="6" t="s">
        <v>130</v>
      </c>
      <c r="D253" s="26" t="s">
        <v>131</v>
      </c>
      <c r="E253" s="62" t="s">
        <v>403</v>
      </c>
      <c r="F253" s="49">
        <v>1</v>
      </c>
      <c r="G253" s="27" t="s">
        <v>12</v>
      </c>
      <c r="H253" s="49">
        <v>1</v>
      </c>
    </row>
    <row r="254" spans="1:8" ht="63.75" x14ac:dyDescent="0.25">
      <c r="A254" s="102"/>
      <c r="B254" s="130"/>
      <c r="C254" s="116" t="s">
        <v>24</v>
      </c>
      <c r="D254" s="26" t="s">
        <v>268</v>
      </c>
      <c r="E254" s="62" t="s">
        <v>412</v>
      </c>
      <c r="F254" s="49">
        <v>0.5</v>
      </c>
      <c r="G254" s="49" t="s">
        <v>188</v>
      </c>
      <c r="H254" s="49">
        <v>0.5</v>
      </c>
    </row>
    <row r="255" spans="1:8" ht="51" x14ac:dyDescent="0.25">
      <c r="A255" s="102"/>
      <c r="B255" s="130"/>
      <c r="C255" s="116" t="s">
        <v>24</v>
      </c>
      <c r="D255" s="26" t="s">
        <v>268</v>
      </c>
      <c r="E255" s="62" t="s">
        <v>413</v>
      </c>
      <c r="F255" s="49">
        <v>1</v>
      </c>
      <c r="G255" s="27" t="s">
        <v>12</v>
      </c>
      <c r="H255" s="49">
        <v>1</v>
      </c>
    </row>
    <row r="256" spans="1:8" ht="89.25" x14ac:dyDescent="0.25">
      <c r="A256" s="102" t="s">
        <v>414</v>
      </c>
      <c r="B256" s="130" t="s">
        <v>415</v>
      </c>
      <c r="C256" s="6" t="s">
        <v>127</v>
      </c>
      <c r="D256" s="7" t="s">
        <v>176</v>
      </c>
      <c r="E256" s="8" t="s">
        <v>416</v>
      </c>
      <c r="F256" s="27">
        <v>1</v>
      </c>
      <c r="G256" s="27" t="s">
        <v>12</v>
      </c>
      <c r="H256" s="27">
        <v>1</v>
      </c>
    </row>
    <row r="257" spans="1:8" ht="51" x14ac:dyDescent="0.25">
      <c r="A257" s="102"/>
      <c r="B257" s="130"/>
      <c r="C257" s="6" t="s">
        <v>127</v>
      </c>
      <c r="D257" s="26" t="s">
        <v>417</v>
      </c>
      <c r="E257" s="168" t="s">
        <v>418</v>
      </c>
      <c r="F257" s="49">
        <v>0.25</v>
      </c>
      <c r="G257" s="49" t="s">
        <v>12</v>
      </c>
      <c r="H257" s="49">
        <v>0.25</v>
      </c>
    </row>
    <row r="258" spans="1:8" ht="51" x14ac:dyDescent="0.25">
      <c r="A258" s="102"/>
      <c r="B258" s="130"/>
      <c r="C258" s="6" t="s">
        <v>130</v>
      </c>
      <c r="D258" s="7" t="s">
        <v>131</v>
      </c>
      <c r="E258" s="38" t="s">
        <v>419</v>
      </c>
      <c r="F258" s="27">
        <v>1</v>
      </c>
      <c r="G258" s="27" t="s">
        <v>12</v>
      </c>
      <c r="H258" s="27">
        <v>1</v>
      </c>
    </row>
    <row r="259" spans="1:8" ht="63.75" x14ac:dyDescent="0.25">
      <c r="A259" s="102"/>
      <c r="B259" s="130"/>
      <c r="C259" s="25" t="s">
        <v>352</v>
      </c>
      <c r="D259" s="26" t="s">
        <v>43</v>
      </c>
      <c r="E259" s="38" t="s">
        <v>420</v>
      </c>
      <c r="F259" s="49">
        <v>1</v>
      </c>
      <c r="G259" s="27" t="s">
        <v>12</v>
      </c>
      <c r="H259" s="27">
        <v>1</v>
      </c>
    </row>
    <row r="260" spans="1:8" x14ac:dyDescent="0.25">
      <c r="A260" s="16"/>
      <c r="B260" s="50"/>
      <c r="C260" s="18"/>
      <c r="D260" s="35"/>
      <c r="E260" s="169"/>
      <c r="F260" s="36">
        <f>SUM(F230:F259)</f>
        <v>24</v>
      </c>
      <c r="G260" s="36">
        <f t="shared" ref="G260:H260" si="1">SUM(G230:G259)</f>
        <v>0</v>
      </c>
      <c r="H260" s="36">
        <f t="shared" si="1"/>
        <v>24</v>
      </c>
    </row>
    <row r="261" spans="1:8" ht="76.5" x14ac:dyDescent="0.25">
      <c r="A261" s="94" t="s">
        <v>421</v>
      </c>
      <c r="B261" s="24" t="s">
        <v>422</v>
      </c>
      <c r="C261" s="25" t="s">
        <v>81</v>
      </c>
      <c r="D261" s="7" t="s">
        <v>423</v>
      </c>
      <c r="E261" s="38" t="s">
        <v>402</v>
      </c>
      <c r="F261" s="27">
        <v>0.25</v>
      </c>
      <c r="G261" s="170" t="s">
        <v>46</v>
      </c>
      <c r="H261" s="170">
        <v>0.25</v>
      </c>
    </row>
    <row r="262" spans="1:8" ht="76.5" x14ac:dyDescent="0.25">
      <c r="A262" s="96"/>
      <c r="B262" s="76"/>
      <c r="C262" s="116" t="s">
        <v>24</v>
      </c>
      <c r="D262" s="26" t="s">
        <v>424</v>
      </c>
      <c r="E262" s="38" t="s">
        <v>380</v>
      </c>
      <c r="F262" s="170">
        <v>0.125</v>
      </c>
      <c r="G262" s="170" t="s">
        <v>46</v>
      </c>
      <c r="H262" s="170">
        <v>0.125</v>
      </c>
    </row>
    <row r="263" spans="1:8" ht="76.5" x14ac:dyDescent="0.25">
      <c r="A263" s="112"/>
      <c r="B263" s="29"/>
      <c r="C263" s="116" t="s">
        <v>24</v>
      </c>
      <c r="D263" s="26" t="s">
        <v>424</v>
      </c>
      <c r="E263" s="171" t="s">
        <v>425</v>
      </c>
      <c r="F263" s="170">
        <v>0.125</v>
      </c>
      <c r="G263" s="170" t="s">
        <v>46</v>
      </c>
      <c r="H263" s="170">
        <v>0.125</v>
      </c>
    </row>
    <row r="264" spans="1:8" x14ac:dyDescent="0.25">
      <c r="A264" s="172"/>
      <c r="B264" s="172"/>
      <c r="C264" s="173"/>
      <c r="D264" s="174"/>
      <c r="E264" s="175"/>
      <c r="F264" s="176">
        <f>SUM(F261:F263)</f>
        <v>0.5</v>
      </c>
      <c r="G264" s="177"/>
      <c r="H264" s="176">
        <f>SUM(H261:H263)</f>
        <v>0.5</v>
      </c>
    </row>
    <row r="265" spans="1:8" ht="89.25" x14ac:dyDescent="0.25">
      <c r="A265" s="120" t="s">
        <v>426</v>
      </c>
      <c r="B265" s="67" t="s">
        <v>427</v>
      </c>
      <c r="C265" s="6" t="s">
        <v>127</v>
      </c>
      <c r="D265" s="7" t="s">
        <v>428</v>
      </c>
      <c r="E265" s="8" t="s">
        <v>429</v>
      </c>
      <c r="F265" s="27">
        <v>1</v>
      </c>
      <c r="G265" s="27" t="s">
        <v>12</v>
      </c>
      <c r="H265" s="27">
        <v>1</v>
      </c>
    </row>
    <row r="266" spans="1:8" ht="51" x14ac:dyDescent="0.25">
      <c r="A266" s="120"/>
      <c r="B266" s="67"/>
      <c r="C266" s="6" t="s">
        <v>147</v>
      </c>
      <c r="D266" s="7" t="s">
        <v>167</v>
      </c>
      <c r="E266" s="8" t="s">
        <v>430</v>
      </c>
      <c r="F266" s="27">
        <v>0.5</v>
      </c>
      <c r="G266" s="27" t="s">
        <v>46</v>
      </c>
      <c r="H266" s="27">
        <v>0.5</v>
      </c>
    </row>
    <row r="267" spans="1:8" ht="63.75" x14ac:dyDescent="0.25">
      <c r="A267" s="120"/>
      <c r="B267" s="67"/>
      <c r="C267" s="6" t="s">
        <v>127</v>
      </c>
      <c r="D267" s="26" t="s">
        <v>128</v>
      </c>
      <c r="E267" s="62" t="s">
        <v>431</v>
      </c>
      <c r="F267" s="49">
        <v>1</v>
      </c>
      <c r="G267" s="27" t="s">
        <v>12</v>
      </c>
      <c r="H267" s="49">
        <v>1</v>
      </c>
    </row>
    <row r="268" spans="1:8" x14ac:dyDescent="0.25">
      <c r="A268" s="172"/>
      <c r="B268" s="172"/>
      <c r="C268" s="173"/>
      <c r="D268" s="174"/>
      <c r="E268" s="175"/>
      <c r="F268" s="177">
        <f>SUM(F265:F267)</f>
        <v>2.5</v>
      </c>
      <c r="G268" s="177"/>
      <c r="H268" s="177">
        <f>SUM(H265:H267)</f>
        <v>2.5</v>
      </c>
    </row>
    <row r="269" spans="1:8" ht="102" x14ac:dyDescent="0.25">
      <c r="A269" s="81" t="s">
        <v>432</v>
      </c>
      <c r="B269" s="82" t="s">
        <v>433</v>
      </c>
      <c r="C269" s="6"/>
      <c r="D269" s="12"/>
      <c r="E269" s="7"/>
      <c r="F269" s="27"/>
      <c r="G269" s="27"/>
      <c r="H269" s="27"/>
    </row>
    <row r="270" spans="1:8" ht="102" x14ac:dyDescent="0.25">
      <c r="A270" s="102" t="s">
        <v>434</v>
      </c>
      <c r="B270" s="103" t="s">
        <v>435</v>
      </c>
      <c r="C270" s="6" t="s">
        <v>147</v>
      </c>
      <c r="D270" s="7" t="s">
        <v>436</v>
      </c>
      <c r="E270" s="62" t="s">
        <v>437</v>
      </c>
      <c r="F270" s="27">
        <v>1</v>
      </c>
      <c r="G270" s="27" t="s">
        <v>12</v>
      </c>
      <c r="H270" s="27">
        <v>1</v>
      </c>
    </row>
    <row r="271" spans="1:8" ht="63.75" x14ac:dyDescent="0.25">
      <c r="A271" s="102"/>
      <c r="B271" s="103"/>
      <c r="C271" s="6" t="s">
        <v>185</v>
      </c>
      <c r="D271" s="7" t="s">
        <v>438</v>
      </c>
      <c r="E271" s="8" t="s">
        <v>439</v>
      </c>
      <c r="F271" s="27">
        <v>0.25</v>
      </c>
      <c r="G271" s="27" t="s">
        <v>46</v>
      </c>
      <c r="H271" s="27">
        <v>0.25</v>
      </c>
    </row>
    <row r="272" spans="1:8" ht="76.5" x14ac:dyDescent="0.25">
      <c r="A272" s="102"/>
      <c r="B272" s="103"/>
      <c r="C272" s="6" t="s">
        <v>127</v>
      </c>
      <c r="D272" s="7" t="s">
        <v>128</v>
      </c>
      <c r="E272" s="8" t="s">
        <v>440</v>
      </c>
      <c r="F272" s="27">
        <v>1</v>
      </c>
      <c r="G272" s="27" t="s">
        <v>12</v>
      </c>
      <c r="H272" s="27">
        <v>1</v>
      </c>
    </row>
    <row r="273" spans="1:8" ht="51" x14ac:dyDescent="0.25">
      <c r="A273" s="102"/>
      <c r="B273" s="103"/>
      <c r="C273" s="6" t="s">
        <v>127</v>
      </c>
      <c r="D273" s="7" t="s">
        <v>128</v>
      </c>
      <c r="E273" s="62" t="s">
        <v>215</v>
      </c>
      <c r="F273" s="27">
        <v>1</v>
      </c>
      <c r="G273" s="27" t="s">
        <v>12</v>
      </c>
      <c r="H273" s="49">
        <v>1</v>
      </c>
    </row>
    <row r="274" spans="1:8" ht="76.5" x14ac:dyDescent="0.25">
      <c r="A274" s="102"/>
      <c r="B274" s="103"/>
      <c r="C274" s="6" t="s">
        <v>193</v>
      </c>
      <c r="D274" s="26" t="s">
        <v>441</v>
      </c>
      <c r="E274" s="8" t="s">
        <v>380</v>
      </c>
      <c r="F274" s="27">
        <v>0.25</v>
      </c>
      <c r="G274" s="170" t="s">
        <v>46</v>
      </c>
      <c r="H274" s="27">
        <v>0.25</v>
      </c>
    </row>
    <row r="275" spans="1:8" ht="51" x14ac:dyDescent="0.25">
      <c r="A275" s="102"/>
      <c r="B275" s="103"/>
      <c r="C275" s="6" t="s">
        <v>193</v>
      </c>
      <c r="D275" s="26" t="s">
        <v>441</v>
      </c>
      <c r="E275" s="8" t="s">
        <v>195</v>
      </c>
      <c r="F275" s="27">
        <v>0.25</v>
      </c>
      <c r="G275" s="178" t="s">
        <v>46</v>
      </c>
      <c r="H275" s="27">
        <v>0.25</v>
      </c>
    </row>
    <row r="276" spans="1:8" ht="51" x14ac:dyDescent="0.25">
      <c r="A276" s="102"/>
      <c r="B276" s="103"/>
      <c r="C276" s="6" t="s">
        <v>132</v>
      </c>
      <c r="D276" s="7" t="s">
        <v>133</v>
      </c>
      <c r="E276" s="8" t="s">
        <v>442</v>
      </c>
      <c r="F276" s="27">
        <v>0.5</v>
      </c>
      <c r="G276" s="27" t="s">
        <v>12</v>
      </c>
      <c r="H276" s="27">
        <v>0.5</v>
      </c>
    </row>
    <row r="277" spans="1:8" ht="89.25" x14ac:dyDescent="0.25">
      <c r="A277" s="102" t="s">
        <v>443</v>
      </c>
      <c r="B277" s="103" t="s">
        <v>444</v>
      </c>
      <c r="C277" s="6" t="s">
        <v>127</v>
      </c>
      <c r="D277" s="7" t="s">
        <v>176</v>
      </c>
      <c r="E277" s="8" t="s">
        <v>445</v>
      </c>
      <c r="F277" s="27">
        <v>1</v>
      </c>
      <c r="G277" s="27" t="s">
        <v>12</v>
      </c>
      <c r="H277" s="27">
        <v>1</v>
      </c>
    </row>
    <row r="278" spans="1:8" ht="63.75" x14ac:dyDescent="0.25">
      <c r="A278" s="102"/>
      <c r="B278" s="103"/>
      <c r="C278" s="6" t="s">
        <v>130</v>
      </c>
      <c r="D278" s="26" t="s">
        <v>131</v>
      </c>
      <c r="E278" s="62" t="s">
        <v>405</v>
      </c>
      <c r="F278" s="49">
        <v>1</v>
      </c>
      <c r="G278" s="27" t="s">
        <v>12</v>
      </c>
      <c r="H278" s="49">
        <v>1</v>
      </c>
    </row>
    <row r="279" spans="1:8" ht="102" x14ac:dyDescent="0.25">
      <c r="A279" s="83" t="s">
        <v>446</v>
      </c>
      <c r="B279" s="95" t="s">
        <v>447</v>
      </c>
      <c r="C279" s="6" t="s">
        <v>147</v>
      </c>
      <c r="D279" s="7" t="s">
        <v>436</v>
      </c>
      <c r="E279" s="8" t="s">
        <v>448</v>
      </c>
      <c r="F279" s="27">
        <v>1</v>
      </c>
      <c r="G279" s="27" t="s">
        <v>12</v>
      </c>
      <c r="H279" s="27">
        <v>1</v>
      </c>
    </row>
    <row r="280" spans="1:8" ht="51" x14ac:dyDescent="0.25">
      <c r="A280" s="86"/>
      <c r="B280" s="97"/>
      <c r="C280" s="6" t="s">
        <v>185</v>
      </c>
      <c r="D280" s="48" t="s">
        <v>199</v>
      </c>
      <c r="E280" s="153" t="s">
        <v>22</v>
      </c>
      <c r="F280" s="27">
        <v>0.5</v>
      </c>
      <c r="G280" s="27"/>
      <c r="H280" s="49">
        <v>0.5</v>
      </c>
    </row>
    <row r="281" spans="1:8" ht="51" x14ac:dyDescent="0.25">
      <c r="A281" s="89"/>
      <c r="B281" s="179"/>
      <c r="C281" s="6" t="s">
        <v>127</v>
      </c>
      <c r="D281" s="7" t="s">
        <v>128</v>
      </c>
      <c r="E281" s="7" t="s">
        <v>449</v>
      </c>
      <c r="F281" s="90">
        <v>0.25</v>
      </c>
      <c r="G281" s="180" t="s">
        <v>46</v>
      </c>
      <c r="H281" s="170">
        <v>0.25</v>
      </c>
    </row>
    <row r="282" spans="1:8" x14ac:dyDescent="0.25">
      <c r="A282" s="16"/>
      <c r="B282" s="50"/>
      <c r="C282" s="18"/>
      <c r="D282" s="35"/>
      <c r="E282" s="35"/>
      <c r="F282" s="36">
        <f>SUM(F270:F281)</f>
        <v>8</v>
      </c>
      <c r="G282" s="36"/>
      <c r="H282" s="181">
        <f>SUM(H270:H281)</f>
        <v>8</v>
      </c>
    </row>
    <row r="283" spans="1:8" ht="102" x14ac:dyDescent="0.25">
      <c r="A283" s="81" t="s">
        <v>450</v>
      </c>
      <c r="B283" s="82" t="s">
        <v>451</v>
      </c>
      <c r="C283" s="6" t="s">
        <v>16</v>
      </c>
      <c r="D283" s="8" t="s">
        <v>452</v>
      </c>
      <c r="E283" s="8" t="s">
        <v>453</v>
      </c>
      <c r="F283" s="27">
        <v>1</v>
      </c>
      <c r="G283" s="27" t="s">
        <v>12</v>
      </c>
      <c r="H283" s="27">
        <v>1</v>
      </c>
    </row>
    <row r="284" spans="1:8" ht="51" x14ac:dyDescent="0.25">
      <c r="A284" s="94" t="s">
        <v>454</v>
      </c>
      <c r="B284" s="99" t="s">
        <v>455</v>
      </c>
      <c r="C284" s="98" t="s">
        <v>147</v>
      </c>
      <c r="D284" s="8" t="s">
        <v>167</v>
      </c>
      <c r="E284" s="8" t="s">
        <v>456</v>
      </c>
      <c r="F284" s="27">
        <v>1</v>
      </c>
      <c r="G284" s="27" t="s">
        <v>12</v>
      </c>
      <c r="H284" s="27">
        <v>1</v>
      </c>
    </row>
    <row r="285" spans="1:8" ht="63.75" x14ac:dyDescent="0.25">
      <c r="A285" s="96"/>
      <c r="B285" s="100"/>
      <c r="C285" s="98" t="s">
        <v>147</v>
      </c>
      <c r="D285" s="8" t="s">
        <v>167</v>
      </c>
      <c r="E285" s="8" t="s">
        <v>457</v>
      </c>
      <c r="F285" s="27">
        <v>1</v>
      </c>
      <c r="G285" s="27" t="s">
        <v>12</v>
      </c>
      <c r="H285" s="27">
        <v>1</v>
      </c>
    </row>
    <row r="286" spans="1:8" ht="51" x14ac:dyDescent="0.25">
      <c r="A286" s="96"/>
      <c r="B286" s="100"/>
      <c r="C286" s="98" t="s">
        <v>127</v>
      </c>
      <c r="D286" s="8" t="s">
        <v>128</v>
      </c>
      <c r="E286" s="8" t="s">
        <v>458</v>
      </c>
      <c r="F286" s="27">
        <v>1</v>
      </c>
      <c r="G286" s="27" t="s">
        <v>12</v>
      </c>
      <c r="H286" s="27">
        <v>1</v>
      </c>
    </row>
    <row r="287" spans="1:8" ht="63.75" x14ac:dyDescent="0.25">
      <c r="A287" s="182"/>
      <c r="B287" s="183"/>
      <c r="C287" s="98" t="s">
        <v>127</v>
      </c>
      <c r="D287" s="8" t="s">
        <v>128</v>
      </c>
      <c r="E287" s="8" t="s">
        <v>459</v>
      </c>
      <c r="F287" s="27">
        <v>0.5</v>
      </c>
      <c r="G287" s="27" t="s">
        <v>46</v>
      </c>
      <c r="H287" s="27">
        <v>0.5</v>
      </c>
    </row>
    <row r="288" spans="1:8" ht="63.75" x14ac:dyDescent="0.25">
      <c r="A288" s="182"/>
      <c r="B288" s="183"/>
      <c r="C288" s="98" t="s">
        <v>127</v>
      </c>
      <c r="D288" s="8" t="s">
        <v>128</v>
      </c>
      <c r="E288" s="8" t="s">
        <v>460</v>
      </c>
      <c r="F288" s="27">
        <v>1</v>
      </c>
      <c r="G288" s="27" t="s">
        <v>12</v>
      </c>
      <c r="H288" s="27">
        <v>1</v>
      </c>
    </row>
    <row r="289" spans="1:8" ht="51" x14ac:dyDescent="0.25">
      <c r="A289" s="182"/>
      <c r="B289" s="183"/>
      <c r="C289" s="98" t="s">
        <v>127</v>
      </c>
      <c r="D289" s="8" t="s">
        <v>128</v>
      </c>
      <c r="E289" s="8" t="s">
        <v>461</v>
      </c>
      <c r="F289" s="27">
        <v>1</v>
      </c>
      <c r="G289" s="27" t="s">
        <v>12</v>
      </c>
      <c r="H289" s="27">
        <v>1</v>
      </c>
    </row>
    <row r="290" spans="1:8" ht="51" x14ac:dyDescent="0.25">
      <c r="A290" s="182"/>
      <c r="B290" s="183"/>
      <c r="C290" s="116" t="s">
        <v>132</v>
      </c>
      <c r="D290" s="8" t="s">
        <v>391</v>
      </c>
      <c r="E290" s="8" t="s">
        <v>462</v>
      </c>
      <c r="F290" s="27">
        <v>1</v>
      </c>
      <c r="G290" s="27" t="s">
        <v>12</v>
      </c>
      <c r="H290" s="27">
        <v>1</v>
      </c>
    </row>
    <row r="291" spans="1:8" ht="76.5" x14ac:dyDescent="0.25">
      <c r="A291" s="184"/>
      <c r="B291" s="185"/>
      <c r="C291" s="116" t="s">
        <v>132</v>
      </c>
      <c r="D291" s="8" t="s">
        <v>391</v>
      </c>
      <c r="E291" s="8" t="s">
        <v>463</v>
      </c>
      <c r="F291" s="27">
        <v>1</v>
      </c>
      <c r="G291" s="27" t="s">
        <v>12</v>
      </c>
      <c r="H291" s="27">
        <v>1</v>
      </c>
    </row>
    <row r="292" spans="1:8" ht="102" x14ac:dyDescent="0.25">
      <c r="A292" s="94" t="s">
        <v>464</v>
      </c>
      <c r="B292" s="99" t="s">
        <v>465</v>
      </c>
      <c r="C292" s="6" t="s">
        <v>16</v>
      </c>
      <c r="D292" s="8" t="s">
        <v>466</v>
      </c>
      <c r="E292" s="8" t="s">
        <v>467</v>
      </c>
      <c r="F292" s="27">
        <v>1</v>
      </c>
      <c r="G292" s="27" t="s">
        <v>12</v>
      </c>
      <c r="H292" s="27">
        <v>1</v>
      </c>
    </row>
    <row r="293" spans="1:8" ht="51" x14ac:dyDescent="0.25">
      <c r="A293" s="96"/>
      <c r="B293" s="100"/>
      <c r="C293" s="6" t="s">
        <v>185</v>
      </c>
      <c r="D293" s="8" t="s">
        <v>438</v>
      </c>
      <c r="E293" s="8" t="s">
        <v>468</v>
      </c>
      <c r="F293" s="27">
        <v>0.5</v>
      </c>
      <c r="G293" s="27" t="s">
        <v>46</v>
      </c>
      <c r="H293" s="27">
        <v>0.5</v>
      </c>
    </row>
    <row r="294" spans="1:8" ht="63.75" x14ac:dyDescent="0.25">
      <c r="A294" s="96"/>
      <c r="B294" s="100"/>
      <c r="C294" s="6" t="s">
        <v>127</v>
      </c>
      <c r="D294" s="8" t="s">
        <v>128</v>
      </c>
      <c r="E294" s="8" t="s">
        <v>469</v>
      </c>
      <c r="F294" s="27">
        <v>1</v>
      </c>
      <c r="G294" s="27" t="s">
        <v>12</v>
      </c>
      <c r="H294" s="27">
        <v>1</v>
      </c>
    </row>
    <row r="295" spans="1:8" ht="63.75" x14ac:dyDescent="0.25">
      <c r="A295" s="182"/>
      <c r="B295" s="183"/>
      <c r="C295" s="6" t="s">
        <v>130</v>
      </c>
      <c r="D295" s="8" t="s">
        <v>131</v>
      </c>
      <c r="E295" s="8" t="s">
        <v>470</v>
      </c>
      <c r="F295" s="27">
        <v>1</v>
      </c>
      <c r="G295" s="27" t="s">
        <v>12</v>
      </c>
      <c r="H295" s="27">
        <v>1</v>
      </c>
    </row>
    <row r="296" spans="1:8" ht="51" x14ac:dyDescent="0.25">
      <c r="A296" s="182"/>
      <c r="B296" s="183"/>
      <c r="C296" s="186" t="s">
        <v>385</v>
      </c>
      <c r="D296" s="187" t="s">
        <v>471</v>
      </c>
      <c r="E296" s="8" t="s">
        <v>472</v>
      </c>
      <c r="F296" s="27">
        <v>1</v>
      </c>
      <c r="G296" s="9" t="s">
        <v>12</v>
      </c>
      <c r="H296" s="27">
        <v>1</v>
      </c>
    </row>
    <row r="297" spans="1:8" ht="63.75" x14ac:dyDescent="0.25">
      <c r="A297" s="184"/>
      <c r="B297" s="185"/>
      <c r="C297" s="25" t="s">
        <v>132</v>
      </c>
      <c r="D297" s="187" t="s">
        <v>391</v>
      </c>
      <c r="E297" s="8" t="s">
        <v>473</v>
      </c>
      <c r="F297" s="27">
        <v>1</v>
      </c>
      <c r="G297" s="9" t="s">
        <v>12</v>
      </c>
      <c r="H297" s="27">
        <v>1</v>
      </c>
    </row>
    <row r="298" spans="1:8" ht="102" x14ac:dyDescent="0.25">
      <c r="A298" s="120" t="s">
        <v>474</v>
      </c>
      <c r="B298" s="130" t="s">
        <v>475</v>
      </c>
      <c r="C298" s="6" t="s">
        <v>147</v>
      </c>
      <c r="D298" s="8" t="s">
        <v>476</v>
      </c>
      <c r="E298" s="8" t="s">
        <v>477</v>
      </c>
      <c r="F298" s="27">
        <v>1</v>
      </c>
      <c r="G298" s="9" t="s">
        <v>12</v>
      </c>
      <c r="H298" s="27">
        <v>1</v>
      </c>
    </row>
    <row r="299" spans="1:8" ht="51" x14ac:dyDescent="0.25">
      <c r="A299" s="120"/>
      <c r="B299" s="130"/>
      <c r="C299" s="98" t="s">
        <v>185</v>
      </c>
      <c r="D299" s="8" t="s">
        <v>438</v>
      </c>
      <c r="E299" s="8" t="s">
        <v>478</v>
      </c>
      <c r="F299" s="27">
        <v>1</v>
      </c>
      <c r="G299" s="27" t="s">
        <v>12</v>
      </c>
      <c r="H299" s="27">
        <v>1</v>
      </c>
    </row>
    <row r="300" spans="1:8" ht="63.75" x14ac:dyDescent="0.25">
      <c r="A300" s="120"/>
      <c r="B300" s="130"/>
      <c r="C300" s="98" t="s">
        <v>185</v>
      </c>
      <c r="D300" s="8" t="s">
        <v>438</v>
      </c>
      <c r="E300" s="8" t="s">
        <v>309</v>
      </c>
      <c r="F300" s="27">
        <v>1</v>
      </c>
      <c r="G300" s="27" t="s">
        <v>12</v>
      </c>
      <c r="H300" s="27">
        <v>1</v>
      </c>
    </row>
    <row r="301" spans="1:8" ht="51" x14ac:dyDescent="0.25">
      <c r="A301" s="120"/>
      <c r="B301" s="130"/>
      <c r="C301" s="6" t="s">
        <v>130</v>
      </c>
      <c r="D301" s="8" t="s">
        <v>131</v>
      </c>
      <c r="E301" s="8" t="s">
        <v>479</v>
      </c>
      <c r="F301" s="27">
        <v>0.5</v>
      </c>
      <c r="G301" s="27" t="s">
        <v>46</v>
      </c>
      <c r="H301" s="27">
        <v>0.5</v>
      </c>
    </row>
    <row r="302" spans="1:8" ht="63.75" x14ac:dyDescent="0.25">
      <c r="A302" s="120"/>
      <c r="B302" s="130"/>
      <c r="C302" s="6" t="s">
        <v>193</v>
      </c>
      <c r="D302" s="8" t="s">
        <v>194</v>
      </c>
      <c r="E302" s="8" t="s">
        <v>480</v>
      </c>
      <c r="F302" s="27">
        <v>1</v>
      </c>
      <c r="G302" s="9" t="s">
        <v>12</v>
      </c>
      <c r="H302" s="27">
        <v>1</v>
      </c>
    </row>
    <row r="303" spans="1:8" ht="51" x14ac:dyDescent="0.25">
      <c r="A303" s="120"/>
      <c r="B303" s="130"/>
      <c r="C303" s="25" t="s">
        <v>352</v>
      </c>
      <c r="D303" s="8" t="s">
        <v>43</v>
      </c>
      <c r="E303" s="8" t="s">
        <v>481</v>
      </c>
      <c r="F303" s="27">
        <v>1</v>
      </c>
      <c r="G303" s="9" t="s">
        <v>12</v>
      </c>
      <c r="H303" s="27">
        <v>1</v>
      </c>
    </row>
    <row r="304" spans="1:8" ht="51" x14ac:dyDescent="0.25">
      <c r="A304" s="120"/>
      <c r="B304" s="130"/>
      <c r="C304" s="6" t="s">
        <v>132</v>
      </c>
      <c r="D304" s="8" t="s">
        <v>135</v>
      </c>
      <c r="E304" s="8" t="s">
        <v>482</v>
      </c>
      <c r="F304" s="27">
        <v>1</v>
      </c>
      <c r="G304" s="9" t="s">
        <v>12</v>
      </c>
      <c r="H304" s="27">
        <v>1</v>
      </c>
    </row>
    <row r="305" spans="1:8" ht="51" x14ac:dyDescent="0.25">
      <c r="A305" s="120"/>
      <c r="B305" s="130"/>
      <c r="C305" s="25" t="s">
        <v>132</v>
      </c>
      <c r="D305" s="8" t="s">
        <v>483</v>
      </c>
      <c r="E305" s="175" t="s">
        <v>484</v>
      </c>
      <c r="F305" s="27">
        <v>0.5</v>
      </c>
      <c r="G305" s="27" t="s">
        <v>46</v>
      </c>
      <c r="H305" s="27">
        <v>0.5</v>
      </c>
    </row>
    <row r="306" spans="1:8" ht="102" x14ac:dyDescent="0.25">
      <c r="A306" s="120" t="s">
        <v>485</v>
      </c>
      <c r="B306" s="130" t="s">
        <v>486</v>
      </c>
      <c r="C306" s="6" t="s">
        <v>147</v>
      </c>
      <c r="D306" s="8" t="s">
        <v>436</v>
      </c>
      <c r="E306" s="8" t="s">
        <v>487</v>
      </c>
      <c r="F306" s="27">
        <v>1</v>
      </c>
      <c r="G306" s="27" t="s">
        <v>12</v>
      </c>
      <c r="H306" s="27">
        <v>1</v>
      </c>
    </row>
    <row r="307" spans="1:8" ht="63.75" x14ac:dyDescent="0.25">
      <c r="A307" s="120"/>
      <c r="B307" s="130"/>
      <c r="C307" s="6" t="s">
        <v>185</v>
      </c>
      <c r="D307" s="8" t="s">
        <v>438</v>
      </c>
      <c r="E307" s="8" t="s">
        <v>488</v>
      </c>
      <c r="F307" s="27">
        <v>1</v>
      </c>
      <c r="G307" s="27" t="s">
        <v>12</v>
      </c>
      <c r="H307" s="27">
        <v>1</v>
      </c>
    </row>
    <row r="308" spans="1:8" ht="89.25" x14ac:dyDescent="0.25">
      <c r="A308" s="120"/>
      <c r="B308" s="130"/>
      <c r="C308" s="98" t="s">
        <v>127</v>
      </c>
      <c r="D308" s="8" t="s">
        <v>128</v>
      </c>
      <c r="E308" s="8" t="s">
        <v>489</v>
      </c>
      <c r="F308" s="27">
        <v>1</v>
      </c>
      <c r="G308" s="27" t="s">
        <v>12</v>
      </c>
      <c r="H308" s="27">
        <v>1</v>
      </c>
    </row>
    <row r="309" spans="1:8" ht="51" x14ac:dyDescent="0.25">
      <c r="A309" s="120"/>
      <c r="B309" s="130"/>
      <c r="C309" s="98" t="s">
        <v>127</v>
      </c>
      <c r="D309" s="8" t="s">
        <v>128</v>
      </c>
      <c r="E309" s="8" t="s">
        <v>490</v>
      </c>
      <c r="F309" s="27">
        <v>1</v>
      </c>
      <c r="G309" s="27" t="s">
        <v>12</v>
      </c>
      <c r="H309" s="27">
        <v>1</v>
      </c>
    </row>
    <row r="310" spans="1:8" ht="51" x14ac:dyDescent="0.25">
      <c r="A310" s="120"/>
      <c r="B310" s="130"/>
      <c r="C310" s="98" t="s">
        <v>130</v>
      </c>
      <c r="D310" s="8" t="s">
        <v>131</v>
      </c>
      <c r="E310" s="8" t="s">
        <v>479</v>
      </c>
      <c r="F310" s="27">
        <v>1</v>
      </c>
      <c r="G310" s="27" t="s">
        <v>12</v>
      </c>
      <c r="H310" s="27">
        <v>1</v>
      </c>
    </row>
    <row r="311" spans="1:8" ht="63.75" x14ac:dyDescent="0.25">
      <c r="A311" s="120"/>
      <c r="B311" s="130"/>
      <c r="C311" s="98" t="s">
        <v>130</v>
      </c>
      <c r="D311" s="8" t="s">
        <v>131</v>
      </c>
      <c r="E311" s="8" t="s">
        <v>491</v>
      </c>
      <c r="F311" s="27">
        <v>1</v>
      </c>
      <c r="G311" s="27" t="s">
        <v>12</v>
      </c>
      <c r="H311" s="27">
        <v>1</v>
      </c>
    </row>
    <row r="312" spans="1:8" ht="63.75" x14ac:dyDescent="0.25">
      <c r="A312" s="120"/>
      <c r="B312" s="130"/>
      <c r="C312" s="25" t="s">
        <v>385</v>
      </c>
      <c r="D312" s="8" t="s">
        <v>471</v>
      </c>
      <c r="E312" s="8" t="s">
        <v>492</v>
      </c>
      <c r="F312" s="27">
        <v>1</v>
      </c>
      <c r="G312" s="27" t="s">
        <v>12</v>
      </c>
      <c r="H312" s="27">
        <v>1</v>
      </c>
    </row>
    <row r="313" spans="1:8" ht="51" x14ac:dyDescent="0.25">
      <c r="A313" s="120"/>
      <c r="B313" s="130"/>
      <c r="C313" s="25" t="s">
        <v>132</v>
      </c>
      <c r="D313" s="8" t="s">
        <v>483</v>
      </c>
      <c r="E313" s="8" t="s">
        <v>484</v>
      </c>
      <c r="F313" s="27">
        <v>1</v>
      </c>
      <c r="G313" s="27" t="s">
        <v>12</v>
      </c>
      <c r="H313" s="27">
        <v>1</v>
      </c>
    </row>
    <row r="314" spans="1:8" ht="51" x14ac:dyDescent="0.25">
      <c r="A314" s="120"/>
      <c r="B314" s="130"/>
      <c r="C314" s="116" t="s">
        <v>132</v>
      </c>
      <c r="D314" s="8" t="s">
        <v>391</v>
      </c>
      <c r="E314" s="8" t="s">
        <v>493</v>
      </c>
      <c r="F314" s="27">
        <v>1</v>
      </c>
      <c r="G314" s="27" t="s">
        <v>12</v>
      </c>
      <c r="H314" s="27">
        <v>1</v>
      </c>
    </row>
    <row r="315" spans="1:8" ht="38.25" x14ac:dyDescent="0.25">
      <c r="A315" s="120"/>
      <c r="B315" s="130"/>
      <c r="C315" s="116" t="s">
        <v>132</v>
      </c>
      <c r="D315" s="7" t="s">
        <v>391</v>
      </c>
      <c r="E315" s="121" t="s">
        <v>22</v>
      </c>
      <c r="F315" s="27">
        <v>0.25</v>
      </c>
      <c r="G315" s="27"/>
      <c r="H315" s="27">
        <v>0.25</v>
      </c>
    </row>
    <row r="316" spans="1:8" ht="76.5" x14ac:dyDescent="0.25">
      <c r="A316" s="120"/>
      <c r="B316" s="130"/>
      <c r="C316" s="116" t="s">
        <v>132</v>
      </c>
      <c r="D316" s="7" t="s">
        <v>391</v>
      </c>
      <c r="E316" s="7" t="s">
        <v>494</v>
      </c>
      <c r="F316" s="27">
        <v>1</v>
      </c>
      <c r="G316" s="27" t="s">
        <v>12</v>
      </c>
      <c r="H316" s="27">
        <v>1</v>
      </c>
    </row>
    <row r="317" spans="1:8" x14ac:dyDescent="0.25">
      <c r="A317" s="16"/>
      <c r="B317" s="50"/>
      <c r="C317" s="18"/>
      <c r="D317" s="35"/>
      <c r="E317" s="35"/>
      <c r="F317" s="36">
        <f>SUM(F283:F316)</f>
        <v>31.25</v>
      </c>
      <c r="G317" s="36"/>
      <c r="H317" s="36">
        <f>SUM(H283:H316)</f>
        <v>31.25</v>
      </c>
    </row>
    <row r="318" spans="1:8" ht="140.25" x14ac:dyDescent="0.25">
      <c r="A318" s="81" t="s">
        <v>495</v>
      </c>
      <c r="B318" s="82" t="s">
        <v>496</v>
      </c>
      <c r="C318" s="6" t="s">
        <v>127</v>
      </c>
      <c r="D318" s="38" t="s">
        <v>497</v>
      </c>
      <c r="E318" s="38" t="s">
        <v>498</v>
      </c>
      <c r="F318" s="27">
        <v>1</v>
      </c>
      <c r="G318" s="27" t="s">
        <v>12</v>
      </c>
      <c r="H318" s="27">
        <v>1</v>
      </c>
    </row>
    <row r="319" spans="1:8" ht="63.75" x14ac:dyDescent="0.25">
      <c r="A319" s="102" t="s">
        <v>499</v>
      </c>
      <c r="B319" s="91" t="s">
        <v>500</v>
      </c>
      <c r="C319" s="6" t="s">
        <v>193</v>
      </c>
      <c r="D319" s="38" t="s">
        <v>194</v>
      </c>
      <c r="E319" s="38" t="s">
        <v>44</v>
      </c>
      <c r="F319" s="150">
        <v>0.5</v>
      </c>
      <c r="G319" s="150" t="s">
        <v>46</v>
      </c>
      <c r="H319" s="27">
        <v>1</v>
      </c>
    </row>
    <row r="320" spans="1:8" ht="63.75" x14ac:dyDescent="0.25">
      <c r="A320" s="102"/>
      <c r="B320" s="107"/>
      <c r="C320" s="98" t="s">
        <v>86</v>
      </c>
      <c r="D320" s="38" t="s">
        <v>89</v>
      </c>
      <c r="E320" s="38" t="s">
        <v>501</v>
      </c>
      <c r="F320" s="27">
        <v>1</v>
      </c>
      <c r="G320" s="27" t="s">
        <v>12</v>
      </c>
      <c r="H320" s="27">
        <v>1</v>
      </c>
    </row>
    <row r="321" spans="1:8" ht="51" x14ac:dyDescent="0.25">
      <c r="A321" s="102"/>
      <c r="B321" s="107"/>
      <c r="C321" s="98" t="s">
        <v>86</v>
      </c>
      <c r="D321" s="38" t="s">
        <v>89</v>
      </c>
      <c r="E321" s="38" t="s">
        <v>502</v>
      </c>
      <c r="F321" s="27">
        <v>1</v>
      </c>
      <c r="G321" s="27" t="s">
        <v>12</v>
      </c>
      <c r="H321" s="27">
        <v>1</v>
      </c>
    </row>
    <row r="322" spans="1:8" ht="51" x14ac:dyDescent="0.25">
      <c r="A322" s="102"/>
      <c r="B322" s="107"/>
      <c r="C322" s="98" t="s">
        <v>86</v>
      </c>
      <c r="D322" s="38" t="s">
        <v>89</v>
      </c>
      <c r="E322" s="38" t="s">
        <v>503</v>
      </c>
      <c r="F322" s="27">
        <v>0.5</v>
      </c>
      <c r="G322" s="27" t="s">
        <v>188</v>
      </c>
      <c r="H322" s="27">
        <v>0.5</v>
      </c>
    </row>
    <row r="323" spans="1:8" ht="63.75" x14ac:dyDescent="0.25">
      <c r="A323" s="102"/>
      <c r="B323" s="107"/>
      <c r="C323" s="6" t="s">
        <v>193</v>
      </c>
      <c r="D323" s="38" t="s">
        <v>194</v>
      </c>
      <c r="E323" s="38" t="s">
        <v>504</v>
      </c>
      <c r="F323" s="27">
        <v>1</v>
      </c>
      <c r="G323" s="27" t="s">
        <v>12</v>
      </c>
      <c r="H323" s="27">
        <v>1</v>
      </c>
    </row>
    <row r="324" spans="1:8" ht="63.75" x14ac:dyDescent="0.25">
      <c r="A324" s="102"/>
      <c r="B324" s="107"/>
      <c r="C324" s="98" t="s">
        <v>132</v>
      </c>
      <c r="D324" s="38" t="s">
        <v>135</v>
      </c>
      <c r="E324" s="38" t="s">
        <v>505</v>
      </c>
      <c r="F324" s="27">
        <v>1</v>
      </c>
      <c r="G324" s="27" t="s">
        <v>12</v>
      </c>
      <c r="H324" s="27">
        <v>1</v>
      </c>
    </row>
    <row r="325" spans="1:8" ht="51" x14ac:dyDescent="0.25">
      <c r="A325" s="102"/>
      <c r="B325" s="107"/>
      <c r="C325" s="98" t="s">
        <v>132</v>
      </c>
      <c r="D325" s="38" t="s">
        <v>391</v>
      </c>
      <c r="E325" s="38" t="s">
        <v>506</v>
      </c>
      <c r="F325" s="27">
        <v>1</v>
      </c>
      <c r="G325" s="27" t="s">
        <v>12</v>
      </c>
      <c r="H325" s="27">
        <v>1</v>
      </c>
    </row>
    <row r="326" spans="1:8" ht="51" x14ac:dyDescent="0.25">
      <c r="A326" s="102"/>
      <c r="B326" s="107"/>
      <c r="C326" s="98" t="s">
        <v>132</v>
      </c>
      <c r="D326" s="38" t="s">
        <v>391</v>
      </c>
      <c r="E326" s="38" t="s">
        <v>507</v>
      </c>
      <c r="F326" s="27">
        <v>1</v>
      </c>
      <c r="G326" s="27" t="s">
        <v>12</v>
      </c>
      <c r="H326" s="27">
        <v>1</v>
      </c>
    </row>
    <row r="327" spans="1:8" ht="63.75" x14ac:dyDescent="0.25">
      <c r="A327" s="102"/>
      <c r="B327" s="107"/>
      <c r="C327" s="98" t="s">
        <v>132</v>
      </c>
      <c r="D327" s="38" t="s">
        <v>391</v>
      </c>
      <c r="E327" s="38" t="s">
        <v>508</v>
      </c>
      <c r="F327" s="27">
        <v>1</v>
      </c>
      <c r="G327" s="27" t="s">
        <v>12</v>
      </c>
      <c r="H327" s="27">
        <v>1</v>
      </c>
    </row>
    <row r="328" spans="1:8" ht="51" x14ac:dyDescent="0.25">
      <c r="A328" s="102"/>
      <c r="B328" s="107"/>
      <c r="C328" s="98" t="s">
        <v>132</v>
      </c>
      <c r="D328" s="38" t="s">
        <v>391</v>
      </c>
      <c r="E328" s="188" t="s">
        <v>509</v>
      </c>
      <c r="F328" s="49">
        <v>1</v>
      </c>
      <c r="G328" s="27" t="s">
        <v>12</v>
      </c>
      <c r="H328" s="49">
        <v>1</v>
      </c>
    </row>
    <row r="329" spans="1:8" ht="63.75" x14ac:dyDescent="0.25">
      <c r="A329" s="102"/>
      <c r="B329" s="107"/>
      <c r="C329" s="98" t="s">
        <v>132</v>
      </c>
      <c r="D329" s="38" t="s">
        <v>391</v>
      </c>
      <c r="E329" s="38" t="s">
        <v>510</v>
      </c>
      <c r="F329" s="27">
        <v>1</v>
      </c>
      <c r="G329" s="27" t="s">
        <v>12</v>
      </c>
      <c r="H329" s="27">
        <v>1</v>
      </c>
    </row>
    <row r="330" spans="1:8" ht="89.25" x14ac:dyDescent="0.25">
      <c r="A330" s="102"/>
      <c r="B330" s="92"/>
      <c r="C330" s="98" t="s">
        <v>132</v>
      </c>
      <c r="D330" s="38" t="s">
        <v>391</v>
      </c>
      <c r="E330" s="38" t="s">
        <v>511</v>
      </c>
      <c r="F330" s="27">
        <v>1</v>
      </c>
      <c r="G330" s="27" t="s">
        <v>12</v>
      </c>
      <c r="H330" s="27">
        <v>1</v>
      </c>
    </row>
    <row r="331" spans="1:8" ht="89.25" x14ac:dyDescent="0.25">
      <c r="A331" s="102" t="s">
        <v>512</v>
      </c>
      <c r="B331" s="95" t="s">
        <v>513</v>
      </c>
      <c r="C331" s="6" t="s">
        <v>130</v>
      </c>
      <c r="D331" s="38" t="s">
        <v>514</v>
      </c>
      <c r="E331" s="38" t="s">
        <v>515</v>
      </c>
      <c r="F331" s="27">
        <v>1</v>
      </c>
      <c r="G331" s="27" t="s">
        <v>12</v>
      </c>
      <c r="H331" s="27">
        <v>1</v>
      </c>
    </row>
    <row r="332" spans="1:8" ht="51" x14ac:dyDescent="0.25">
      <c r="A332" s="102"/>
      <c r="B332" s="97"/>
      <c r="C332" s="6" t="s">
        <v>39</v>
      </c>
      <c r="D332" s="38" t="s">
        <v>471</v>
      </c>
      <c r="E332" s="38" t="s">
        <v>516</v>
      </c>
      <c r="F332" s="150">
        <v>1</v>
      </c>
      <c r="G332" s="27" t="s">
        <v>12</v>
      </c>
      <c r="H332" s="150">
        <v>1</v>
      </c>
    </row>
    <row r="333" spans="1:8" ht="51" x14ac:dyDescent="0.25">
      <c r="A333" s="102"/>
      <c r="B333" s="97"/>
      <c r="C333" s="6" t="s">
        <v>193</v>
      </c>
      <c r="D333" s="38" t="s">
        <v>194</v>
      </c>
      <c r="E333" s="38" t="s">
        <v>517</v>
      </c>
      <c r="F333" s="27">
        <v>1</v>
      </c>
      <c r="G333" s="27" t="s">
        <v>12</v>
      </c>
      <c r="H333" s="27">
        <v>1</v>
      </c>
    </row>
    <row r="334" spans="1:8" ht="63.75" x14ac:dyDescent="0.25">
      <c r="A334" s="102"/>
      <c r="B334" s="97"/>
      <c r="C334" s="6" t="s">
        <v>193</v>
      </c>
      <c r="D334" s="7" t="s">
        <v>194</v>
      </c>
      <c r="E334" s="8" t="s">
        <v>518</v>
      </c>
      <c r="F334" s="27">
        <v>0.5</v>
      </c>
      <c r="G334" s="27" t="s">
        <v>188</v>
      </c>
      <c r="H334" s="27">
        <v>0.5</v>
      </c>
    </row>
    <row r="335" spans="1:8" ht="51" x14ac:dyDescent="0.25">
      <c r="A335" s="102"/>
      <c r="B335" s="97"/>
      <c r="C335" s="6" t="s">
        <v>24</v>
      </c>
      <c r="D335" s="7" t="s">
        <v>43</v>
      </c>
      <c r="E335" s="8" t="s">
        <v>519</v>
      </c>
      <c r="F335" s="27">
        <v>1</v>
      </c>
      <c r="G335" s="27" t="s">
        <v>12</v>
      </c>
      <c r="H335" s="27">
        <v>1</v>
      </c>
    </row>
    <row r="336" spans="1:8" ht="51" x14ac:dyDescent="0.25">
      <c r="A336" s="102"/>
      <c r="B336" s="97"/>
      <c r="C336" s="98" t="s">
        <v>132</v>
      </c>
      <c r="D336" s="7" t="s">
        <v>135</v>
      </c>
      <c r="E336" s="8" t="s">
        <v>520</v>
      </c>
      <c r="F336" s="27">
        <v>1</v>
      </c>
      <c r="G336" s="27" t="s">
        <v>12</v>
      </c>
      <c r="H336" s="27">
        <v>1</v>
      </c>
    </row>
    <row r="337" spans="1:8" ht="38.25" x14ac:dyDescent="0.25">
      <c r="A337" s="102"/>
      <c r="B337" s="179"/>
      <c r="C337" s="98" t="s">
        <v>132</v>
      </c>
      <c r="D337" s="7" t="s">
        <v>135</v>
      </c>
      <c r="E337" s="8" t="s">
        <v>521</v>
      </c>
      <c r="F337" s="27">
        <v>1</v>
      </c>
      <c r="G337" s="27" t="s">
        <v>12</v>
      </c>
      <c r="H337" s="27">
        <v>1</v>
      </c>
    </row>
    <row r="338" spans="1:8" ht="102" x14ac:dyDescent="0.25">
      <c r="A338" s="83" t="s">
        <v>522</v>
      </c>
      <c r="B338" s="84" t="s">
        <v>523</v>
      </c>
      <c r="C338" s="6" t="s">
        <v>147</v>
      </c>
      <c r="D338" s="7" t="s">
        <v>524</v>
      </c>
      <c r="E338" s="8" t="s">
        <v>525</v>
      </c>
      <c r="F338" s="27">
        <v>1</v>
      </c>
      <c r="G338" s="27" t="s">
        <v>12</v>
      </c>
      <c r="H338" s="27">
        <v>1</v>
      </c>
    </row>
    <row r="339" spans="1:8" ht="63.75" x14ac:dyDescent="0.25">
      <c r="A339" s="86"/>
      <c r="B339" s="87"/>
      <c r="C339" s="6" t="s">
        <v>130</v>
      </c>
      <c r="D339" s="26" t="s">
        <v>131</v>
      </c>
      <c r="E339" s="62" t="s">
        <v>526</v>
      </c>
      <c r="F339" s="49">
        <v>0.5</v>
      </c>
      <c r="G339" s="189" t="s">
        <v>46</v>
      </c>
      <c r="H339" s="49">
        <v>0.5</v>
      </c>
    </row>
    <row r="340" spans="1:8" x14ac:dyDescent="0.25">
      <c r="A340" s="16"/>
      <c r="B340" s="50"/>
      <c r="C340" s="18"/>
      <c r="D340" s="35"/>
      <c r="E340" s="93"/>
      <c r="F340" s="190">
        <f>SUM(F318:F339)</f>
        <v>20</v>
      </c>
      <c r="G340" s="36"/>
      <c r="H340" s="36">
        <f>SUM(H318:H339)</f>
        <v>20.5</v>
      </c>
    </row>
    <row r="341" spans="1:8" ht="102" x14ac:dyDescent="0.25">
      <c r="A341" s="23" t="s">
        <v>527</v>
      </c>
      <c r="B341" s="191" t="s">
        <v>528</v>
      </c>
      <c r="C341" s="25" t="s">
        <v>81</v>
      </c>
      <c r="D341" s="7" t="s">
        <v>82</v>
      </c>
      <c r="E341" s="8" t="s">
        <v>529</v>
      </c>
      <c r="F341" s="27">
        <v>1</v>
      </c>
      <c r="G341" s="9" t="s">
        <v>12</v>
      </c>
      <c r="H341" s="27">
        <v>1</v>
      </c>
    </row>
    <row r="342" spans="1:8" ht="89.25" x14ac:dyDescent="0.25">
      <c r="A342" s="94" t="s">
        <v>530</v>
      </c>
      <c r="B342" s="192" t="s">
        <v>531</v>
      </c>
      <c r="C342" s="193" t="s">
        <v>185</v>
      </c>
      <c r="D342" s="42" t="s">
        <v>532</v>
      </c>
      <c r="E342" s="38" t="s">
        <v>459</v>
      </c>
      <c r="F342" s="39">
        <v>1</v>
      </c>
      <c r="G342" s="9" t="s">
        <v>12</v>
      </c>
      <c r="H342" s="27">
        <v>1</v>
      </c>
    </row>
    <row r="343" spans="1:8" ht="51" x14ac:dyDescent="0.25">
      <c r="A343" s="112"/>
      <c r="B343" s="194"/>
      <c r="C343" s="193" t="s">
        <v>147</v>
      </c>
      <c r="D343" s="42" t="s">
        <v>167</v>
      </c>
      <c r="E343" s="38" t="s">
        <v>533</v>
      </c>
      <c r="F343" s="150">
        <v>0.5</v>
      </c>
      <c r="G343" s="27" t="s">
        <v>46</v>
      </c>
      <c r="H343" s="27">
        <v>0.5</v>
      </c>
    </row>
    <row r="344" spans="1:8" ht="51" x14ac:dyDescent="0.25">
      <c r="A344" s="94" t="s">
        <v>534</v>
      </c>
      <c r="B344" s="195" t="s">
        <v>535</v>
      </c>
      <c r="C344" s="25" t="s">
        <v>39</v>
      </c>
      <c r="D344" s="26" t="s">
        <v>471</v>
      </c>
      <c r="E344" s="85" t="s">
        <v>536</v>
      </c>
      <c r="F344" s="49">
        <v>0.5</v>
      </c>
      <c r="G344" s="49" t="s">
        <v>46</v>
      </c>
      <c r="H344" s="49">
        <v>0.5</v>
      </c>
    </row>
    <row r="345" spans="1:8" ht="63.75" x14ac:dyDescent="0.25">
      <c r="A345" s="96"/>
      <c r="B345" s="196"/>
      <c r="C345" s="25" t="s">
        <v>86</v>
      </c>
      <c r="D345" s="7" t="s">
        <v>537</v>
      </c>
      <c r="E345" s="8" t="s">
        <v>538</v>
      </c>
      <c r="F345" s="9">
        <v>1</v>
      </c>
      <c r="G345" s="9" t="s">
        <v>12</v>
      </c>
      <c r="H345" s="9">
        <v>1</v>
      </c>
    </row>
    <row r="346" spans="1:8" ht="76.5" x14ac:dyDescent="0.25">
      <c r="A346" s="96"/>
      <c r="B346" s="196"/>
      <c r="C346" s="25" t="s">
        <v>132</v>
      </c>
      <c r="D346" s="7" t="s">
        <v>391</v>
      </c>
      <c r="E346" s="8" t="s">
        <v>539</v>
      </c>
      <c r="F346" s="9">
        <v>1</v>
      </c>
      <c r="G346" s="9" t="s">
        <v>12</v>
      </c>
      <c r="H346" s="9">
        <v>1</v>
      </c>
    </row>
    <row r="347" spans="1:8" ht="76.5" x14ac:dyDescent="0.25">
      <c r="A347" s="96"/>
      <c r="B347" s="196"/>
      <c r="C347" s="25"/>
      <c r="D347" s="197" t="s">
        <v>540</v>
      </c>
      <c r="E347" s="8"/>
      <c r="F347" s="9"/>
      <c r="G347" s="9"/>
      <c r="H347" s="9"/>
    </row>
    <row r="348" spans="1:8" ht="76.5" x14ac:dyDescent="0.25">
      <c r="A348" s="96"/>
      <c r="B348" s="196"/>
      <c r="C348" s="25" t="s">
        <v>145</v>
      </c>
      <c r="D348" s="7" t="s">
        <v>541</v>
      </c>
      <c r="E348" s="8" t="s">
        <v>542</v>
      </c>
      <c r="F348" s="9">
        <v>1</v>
      </c>
      <c r="G348" s="9" t="s">
        <v>12</v>
      </c>
      <c r="H348" s="9">
        <v>1</v>
      </c>
    </row>
    <row r="349" spans="1:8" ht="76.5" x14ac:dyDescent="0.25">
      <c r="A349" s="96"/>
      <c r="B349" s="196"/>
      <c r="C349" s="25" t="s">
        <v>123</v>
      </c>
      <c r="D349" s="198" t="s">
        <v>543</v>
      </c>
      <c r="E349" s="8" t="s">
        <v>542</v>
      </c>
      <c r="F349" s="9">
        <v>0.25</v>
      </c>
      <c r="G349" s="9" t="s">
        <v>46</v>
      </c>
      <c r="H349" s="9">
        <v>0.25</v>
      </c>
    </row>
    <row r="350" spans="1:8" ht="51" x14ac:dyDescent="0.25">
      <c r="A350" s="96"/>
      <c r="B350" s="196"/>
      <c r="C350" s="25" t="s">
        <v>123</v>
      </c>
      <c r="D350" s="198" t="s">
        <v>543</v>
      </c>
      <c r="E350" s="8" t="s">
        <v>544</v>
      </c>
      <c r="F350" s="9">
        <v>1</v>
      </c>
      <c r="G350" s="9" t="s">
        <v>12</v>
      </c>
      <c r="H350" s="9">
        <v>1</v>
      </c>
    </row>
    <row r="351" spans="1:8" ht="51" x14ac:dyDescent="0.25">
      <c r="A351" s="96"/>
      <c r="B351" s="196"/>
      <c r="C351" s="25" t="s">
        <v>123</v>
      </c>
      <c r="D351" s="198" t="s">
        <v>543</v>
      </c>
      <c r="E351" s="8" t="s">
        <v>544</v>
      </c>
      <c r="F351" s="9">
        <v>0.25</v>
      </c>
      <c r="G351" s="9" t="s">
        <v>46</v>
      </c>
      <c r="H351" s="9">
        <v>0.25</v>
      </c>
    </row>
    <row r="352" spans="1:8" ht="76.5" x14ac:dyDescent="0.25">
      <c r="A352" s="96"/>
      <c r="B352" s="196"/>
      <c r="C352" s="25" t="s">
        <v>123</v>
      </c>
      <c r="D352" s="198" t="s">
        <v>543</v>
      </c>
      <c r="E352" s="8" t="s">
        <v>545</v>
      </c>
      <c r="F352" s="9">
        <v>1</v>
      </c>
      <c r="G352" s="9" t="s">
        <v>12</v>
      </c>
      <c r="H352" s="9">
        <v>1</v>
      </c>
    </row>
    <row r="353" spans="1:8" ht="76.5" x14ac:dyDescent="0.25">
      <c r="A353" s="96"/>
      <c r="B353" s="196"/>
      <c r="C353" s="25" t="s">
        <v>123</v>
      </c>
      <c r="D353" s="198" t="s">
        <v>543</v>
      </c>
      <c r="E353" s="8" t="s">
        <v>545</v>
      </c>
      <c r="F353" s="9">
        <v>0.25</v>
      </c>
      <c r="G353" s="9" t="s">
        <v>46</v>
      </c>
      <c r="H353" s="9">
        <v>0.25</v>
      </c>
    </row>
    <row r="354" spans="1:8" ht="51" x14ac:dyDescent="0.25">
      <c r="A354" s="96"/>
      <c r="B354" s="196"/>
      <c r="C354" s="25" t="s">
        <v>123</v>
      </c>
      <c r="D354" s="198" t="s">
        <v>543</v>
      </c>
      <c r="E354" s="8" t="s">
        <v>546</v>
      </c>
      <c r="F354" s="9">
        <v>1</v>
      </c>
      <c r="G354" s="9" t="s">
        <v>12</v>
      </c>
      <c r="H354" s="9">
        <v>1</v>
      </c>
    </row>
    <row r="355" spans="1:8" ht="51" x14ac:dyDescent="0.25">
      <c r="A355" s="96"/>
      <c r="B355" s="196"/>
      <c r="C355" s="25" t="s">
        <v>123</v>
      </c>
      <c r="D355" s="198" t="s">
        <v>543</v>
      </c>
      <c r="E355" s="8" t="s">
        <v>546</v>
      </c>
      <c r="F355" s="9">
        <v>0.25</v>
      </c>
      <c r="G355" s="9" t="s">
        <v>46</v>
      </c>
      <c r="H355" s="9">
        <v>0.25</v>
      </c>
    </row>
    <row r="356" spans="1:8" ht="89.25" x14ac:dyDescent="0.25">
      <c r="A356" s="96"/>
      <c r="B356" s="196"/>
      <c r="C356" s="25"/>
      <c r="D356" s="199" t="s">
        <v>547</v>
      </c>
      <c r="E356" s="8"/>
      <c r="F356" s="27"/>
      <c r="G356" s="27"/>
      <c r="H356" s="27"/>
    </row>
    <row r="357" spans="1:8" ht="76.5" x14ac:dyDescent="0.25">
      <c r="A357" s="96"/>
      <c r="B357" s="196"/>
      <c r="C357" s="25" t="s">
        <v>81</v>
      </c>
      <c r="D357" s="7" t="s">
        <v>548</v>
      </c>
      <c r="E357" s="8" t="s">
        <v>549</v>
      </c>
      <c r="F357" s="27">
        <v>0.25</v>
      </c>
      <c r="G357" s="170" t="s">
        <v>46</v>
      </c>
      <c r="H357" s="27">
        <v>0.25</v>
      </c>
    </row>
    <row r="358" spans="1:8" ht="63.75" x14ac:dyDescent="0.25">
      <c r="A358" s="96"/>
      <c r="B358" s="196"/>
      <c r="C358" s="25" t="s">
        <v>54</v>
      </c>
      <c r="D358" s="7" t="s">
        <v>550</v>
      </c>
      <c r="E358" s="8" t="s">
        <v>402</v>
      </c>
      <c r="F358" s="27">
        <v>0.25</v>
      </c>
      <c r="G358" s="27" t="s">
        <v>46</v>
      </c>
      <c r="H358" s="27">
        <v>0.25</v>
      </c>
    </row>
    <row r="359" spans="1:8" ht="51" x14ac:dyDescent="0.25">
      <c r="A359" s="96"/>
      <c r="B359" s="196"/>
      <c r="C359" s="25" t="s">
        <v>39</v>
      </c>
      <c r="D359" s="7" t="s">
        <v>401</v>
      </c>
      <c r="E359" s="7" t="s">
        <v>529</v>
      </c>
      <c r="F359" s="27">
        <v>0.25</v>
      </c>
      <c r="G359" s="27" t="s">
        <v>46</v>
      </c>
      <c r="H359" s="27">
        <v>0.25</v>
      </c>
    </row>
    <row r="360" spans="1:8" ht="63.75" x14ac:dyDescent="0.25">
      <c r="A360" s="96"/>
      <c r="B360" s="196"/>
      <c r="C360" s="116" t="s">
        <v>24</v>
      </c>
      <c r="D360" s="200" t="s">
        <v>551</v>
      </c>
      <c r="E360" s="7" t="s">
        <v>459</v>
      </c>
      <c r="F360" s="27">
        <v>0.25</v>
      </c>
      <c r="G360" s="27" t="s">
        <v>46</v>
      </c>
      <c r="H360" s="27">
        <v>0.25</v>
      </c>
    </row>
    <row r="361" spans="1:8" ht="63.75" x14ac:dyDescent="0.25">
      <c r="A361" s="96"/>
      <c r="B361" s="196"/>
      <c r="C361" s="116" t="s">
        <v>24</v>
      </c>
      <c r="D361" s="124" t="s">
        <v>551</v>
      </c>
      <c r="E361" s="198" t="s">
        <v>416</v>
      </c>
      <c r="F361" s="27">
        <v>0.5</v>
      </c>
      <c r="G361" s="27" t="s">
        <v>46</v>
      </c>
      <c r="H361" s="27">
        <v>0.5</v>
      </c>
    </row>
    <row r="362" spans="1:8" ht="63.75" x14ac:dyDescent="0.25">
      <c r="A362" s="96"/>
      <c r="B362" s="196"/>
      <c r="C362" s="116" t="s">
        <v>24</v>
      </c>
      <c r="D362" s="124" t="s">
        <v>552</v>
      </c>
      <c r="E362" s="7" t="s">
        <v>553</v>
      </c>
      <c r="F362" s="27">
        <v>0.5</v>
      </c>
      <c r="G362" s="9" t="s">
        <v>46</v>
      </c>
      <c r="H362" s="27">
        <v>0.5</v>
      </c>
    </row>
    <row r="363" spans="1:8" x14ac:dyDescent="0.25">
      <c r="A363" s="112"/>
      <c r="B363" s="201"/>
      <c r="C363" s="116" t="s">
        <v>24</v>
      </c>
      <c r="D363" s="202" t="s">
        <v>552</v>
      </c>
      <c r="E363" s="121" t="s">
        <v>22</v>
      </c>
      <c r="F363" s="27">
        <v>0.5</v>
      </c>
      <c r="G363" s="90"/>
      <c r="H363" s="27">
        <v>0.5</v>
      </c>
    </row>
    <row r="364" spans="1:8" x14ac:dyDescent="0.25">
      <c r="A364" s="203"/>
      <c r="B364" s="204"/>
      <c r="C364" s="205"/>
      <c r="D364" s="174"/>
      <c r="E364" s="20"/>
      <c r="F364" s="36">
        <f>SUM(F341:F363)</f>
        <v>12.5</v>
      </c>
      <c r="G364" s="36"/>
      <c r="H364" s="36">
        <f>SUM(H341:H363)</f>
        <v>12.5</v>
      </c>
    </row>
    <row r="365" spans="1:8" x14ac:dyDescent="0.25">
      <c r="A365" s="206" t="s">
        <v>554</v>
      </c>
      <c r="B365" s="204"/>
      <c r="C365" s="205"/>
      <c r="D365" s="174"/>
      <c r="E365" s="20"/>
      <c r="F365" s="36">
        <f>F229+F260+F264+F268+F282+F317+F340+F364</f>
        <v>99.75</v>
      </c>
      <c r="G365" s="36"/>
      <c r="H365" s="36">
        <f>H229+H260+H264+H268+H282+H317+H340+H364</f>
        <v>100.25</v>
      </c>
    </row>
    <row r="366" spans="1:8" ht="51" x14ac:dyDescent="0.25">
      <c r="A366" s="4" t="s">
        <v>555</v>
      </c>
      <c r="B366" s="60" t="s">
        <v>556</v>
      </c>
      <c r="C366" s="6" t="s">
        <v>105</v>
      </c>
      <c r="D366" s="7" t="s">
        <v>82</v>
      </c>
      <c r="E366" s="12" t="s">
        <v>557</v>
      </c>
      <c r="F366" s="9">
        <v>1</v>
      </c>
      <c r="G366" s="9" t="s">
        <v>12</v>
      </c>
      <c r="H366" s="9">
        <v>1</v>
      </c>
    </row>
    <row r="367" spans="1:8" ht="76.5" x14ac:dyDescent="0.25">
      <c r="A367" s="10"/>
      <c r="B367" s="61"/>
      <c r="C367" s="6" t="s">
        <v>105</v>
      </c>
      <c r="D367" s="7" t="s">
        <v>558</v>
      </c>
      <c r="E367" s="12" t="s">
        <v>559</v>
      </c>
      <c r="F367" s="9">
        <v>1</v>
      </c>
      <c r="G367" s="9" t="s">
        <v>12</v>
      </c>
      <c r="H367" s="9">
        <v>1</v>
      </c>
    </row>
    <row r="368" spans="1:8" ht="51" x14ac:dyDescent="0.25">
      <c r="A368" s="10"/>
      <c r="B368" s="61"/>
      <c r="C368" s="98" t="s">
        <v>560</v>
      </c>
      <c r="D368" s="7" t="s">
        <v>194</v>
      </c>
      <c r="E368" s="12" t="s">
        <v>368</v>
      </c>
      <c r="F368" s="9">
        <v>1</v>
      </c>
      <c r="G368" s="9" t="s">
        <v>12</v>
      </c>
      <c r="H368" s="9">
        <v>1</v>
      </c>
    </row>
    <row r="369" spans="1:8" ht="25.5" x14ac:dyDescent="0.25">
      <c r="A369" s="10"/>
      <c r="B369" s="61"/>
      <c r="C369" s="98" t="s">
        <v>560</v>
      </c>
      <c r="D369" s="7" t="s">
        <v>194</v>
      </c>
      <c r="E369" s="121" t="s">
        <v>22</v>
      </c>
      <c r="F369" s="9">
        <v>1</v>
      </c>
      <c r="G369" s="9"/>
      <c r="H369" s="9">
        <v>1</v>
      </c>
    </row>
    <row r="370" spans="1:8" ht="114.75" x14ac:dyDescent="0.25">
      <c r="A370" s="10"/>
      <c r="B370" s="61"/>
      <c r="C370" s="98" t="s">
        <v>360</v>
      </c>
      <c r="D370" s="7" t="s">
        <v>367</v>
      </c>
      <c r="E370" s="12" t="s">
        <v>368</v>
      </c>
      <c r="F370" s="9">
        <v>0.25</v>
      </c>
      <c r="G370" s="9" t="s">
        <v>46</v>
      </c>
      <c r="H370" s="9">
        <v>0.25</v>
      </c>
    </row>
    <row r="371" spans="1:8" ht="114.75" x14ac:dyDescent="0.25">
      <c r="A371" s="10"/>
      <c r="B371" s="61"/>
      <c r="C371" s="98" t="s">
        <v>360</v>
      </c>
      <c r="D371" s="7" t="s">
        <v>367</v>
      </c>
      <c r="E371" s="121" t="s">
        <v>22</v>
      </c>
      <c r="F371" s="9">
        <v>1</v>
      </c>
      <c r="G371" s="9"/>
      <c r="H371" s="9">
        <v>1</v>
      </c>
    </row>
    <row r="372" spans="1:8" ht="51" x14ac:dyDescent="0.25">
      <c r="A372" s="10"/>
      <c r="B372" s="61"/>
      <c r="C372" s="98" t="s">
        <v>360</v>
      </c>
      <c r="D372" s="7" t="s">
        <v>361</v>
      </c>
      <c r="E372" s="12" t="s">
        <v>362</v>
      </c>
      <c r="F372" s="9">
        <v>1</v>
      </c>
      <c r="G372" s="9" t="s">
        <v>12</v>
      </c>
      <c r="H372" s="9">
        <v>1</v>
      </c>
    </row>
    <row r="373" spans="1:8" ht="51" x14ac:dyDescent="0.25">
      <c r="A373" s="10"/>
      <c r="B373" s="61"/>
      <c r="C373" s="98" t="s">
        <v>360</v>
      </c>
      <c r="D373" s="7" t="s">
        <v>361</v>
      </c>
      <c r="E373" s="12" t="s">
        <v>561</v>
      </c>
      <c r="F373" s="9">
        <v>0.5</v>
      </c>
      <c r="G373" s="9" t="s">
        <v>46</v>
      </c>
      <c r="H373" s="9">
        <v>0.5</v>
      </c>
    </row>
    <row r="374" spans="1:8" ht="51" x14ac:dyDescent="0.25">
      <c r="A374" s="10"/>
      <c r="B374" s="61"/>
      <c r="C374" s="6" t="s">
        <v>360</v>
      </c>
      <c r="D374" s="7" t="s">
        <v>562</v>
      </c>
      <c r="E374" s="12" t="s">
        <v>563</v>
      </c>
      <c r="F374" s="9">
        <v>1</v>
      </c>
      <c r="G374" s="9" t="s">
        <v>12</v>
      </c>
      <c r="H374" s="9">
        <v>1</v>
      </c>
    </row>
    <row r="375" spans="1:8" ht="102" x14ac:dyDescent="0.25">
      <c r="A375" s="10"/>
      <c r="B375" s="61"/>
      <c r="C375" s="98" t="s">
        <v>360</v>
      </c>
      <c r="D375" s="7" t="s">
        <v>564</v>
      </c>
      <c r="E375" s="7" t="s">
        <v>364</v>
      </c>
      <c r="F375" s="27">
        <v>1</v>
      </c>
      <c r="G375" s="27" t="s">
        <v>12</v>
      </c>
      <c r="H375" s="27">
        <v>1</v>
      </c>
    </row>
    <row r="376" spans="1:8" ht="102" x14ac:dyDescent="0.25">
      <c r="A376" s="10"/>
      <c r="B376" s="61"/>
      <c r="C376" s="98" t="s">
        <v>360</v>
      </c>
      <c r="D376" s="7" t="s">
        <v>564</v>
      </c>
      <c r="E376" s="26" t="s">
        <v>565</v>
      </c>
      <c r="F376" s="49">
        <v>1</v>
      </c>
      <c r="G376" s="27" t="s">
        <v>12</v>
      </c>
      <c r="H376" s="49">
        <v>1</v>
      </c>
    </row>
    <row r="377" spans="1:8" ht="102" x14ac:dyDescent="0.25">
      <c r="A377" s="10"/>
      <c r="B377" s="61"/>
      <c r="C377" s="98" t="s">
        <v>360</v>
      </c>
      <c r="D377" s="7" t="s">
        <v>564</v>
      </c>
      <c r="E377" s="7" t="s">
        <v>566</v>
      </c>
      <c r="F377" s="27">
        <v>1</v>
      </c>
      <c r="G377" s="27" t="s">
        <v>12</v>
      </c>
      <c r="H377" s="27">
        <v>1</v>
      </c>
    </row>
    <row r="378" spans="1:8" ht="102" x14ac:dyDescent="0.25">
      <c r="A378" s="10"/>
      <c r="B378" s="61"/>
      <c r="C378" s="98" t="s">
        <v>360</v>
      </c>
      <c r="D378" s="7" t="s">
        <v>564</v>
      </c>
      <c r="E378" s="121" t="s">
        <v>22</v>
      </c>
      <c r="F378" s="49">
        <v>1</v>
      </c>
      <c r="G378" s="49"/>
      <c r="H378" s="49">
        <v>1</v>
      </c>
    </row>
    <row r="379" spans="1:8" ht="51" x14ac:dyDescent="0.25">
      <c r="A379" s="10"/>
      <c r="B379" s="61"/>
      <c r="C379" s="116" t="s">
        <v>567</v>
      </c>
      <c r="D379" s="7" t="s">
        <v>568</v>
      </c>
      <c r="E379" s="12" t="s">
        <v>569</v>
      </c>
      <c r="F379" s="9">
        <v>1</v>
      </c>
      <c r="G379" s="9" t="s">
        <v>12</v>
      </c>
      <c r="H379" s="9">
        <v>1</v>
      </c>
    </row>
    <row r="380" spans="1:8" ht="51" x14ac:dyDescent="0.25">
      <c r="A380" s="10"/>
      <c r="B380" s="61"/>
      <c r="C380" s="116" t="s">
        <v>567</v>
      </c>
      <c r="D380" s="7" t="s">
        <v>568</v>
      </c>
      <c r="E380" s="12" t="s">
        <v>570</v>
      </c>
      <c r="F380" s="9">
        <v>1</v>
      </c>
      <c r="G380" s="9" t="s">
        <v>12</v>
      </c>
      <c r="H380" s="9">
        <v>1</v>
      </c>
    </row>
    <row r="381" spans="1:8" ht="63.75" x14ac:dyDescent="0.25">
      <c r="A381" s="10"/>
      <c r="B381" s="61"/>
      <c r="C381" s="6" t="s">
        <v>57</v>
      </c>
      <c r="D381" s="7" t="s">
        <v>571</v>
      </c>
      <c r="E381" s="12" t="s">
        <v>572</v>
      </c>
      <c r="F381" s="9">
        <v>1</v>
      </c>
      <c r="G381" s="9" t="s">
        <v>12</v>
      </c>
      <c r="H381" s="9">
        <v>1</v>
      </c>
    </row>
    <row r="382" spans="1:8" ht="63.75" x14ac:dyDescent="0.25">
      <c r="A382" s="10"/>
      <c r="B382" s="61"/>
      <c r="C382" s="6" t="s">
        <v>360</v>
      </c>
      <c r="D382" s="7" t="s">
        <v>573</v>
      </c>
      <c r="E382" s="12" t="s">
        <v>574</v>
      </c>
      <c r="F382" s="9">
        <v>1</v>
      </c>
      <c r="G382" s="9" t="s">
        <v>12</v>
      </c>
      <c r="H382" s="9">
        <v>1</v>
      </c>
    </row>
    <row r="383" spans="1:8" ht="63.75" x14ac:dyDescent="0.25">
      <c r="A383" s="10"/>
      <c r="B383" s="61"/>
      <c r="C383" s="98" t="s">
        <v>123</v>
      </c>
      <c r="D383" s="7" t="s">
        <v>575</v>
      </c>
      <c r="E383" s="12" t="s">
        <v>576</v>
      </c>
      <c r="F383" s="9">
        <v>1</v>
      </c>
      <c r="G383" s="9" t="s">
        <v>12</v>
      </c>
      <c r="H383" s="9">
        <v>1</v>
      </c>
    </row>
    <row r="384" spans="1:8" ht="76.5" x14ac:dyDescent="0.25">
      <c r="A384" s="10"/>
      <c r="B384" s="61"/>
      <c r="C384" s="98" t="s">
        <v>123</v>
      </c>
      <c r="D384" s="7" t="s">
        <v>575</v>
      </c>
      <c r="E384" s="12" t="s">
        <v>577</v>
      </c>
      <c r="F384" s="9">
        <v>1</v>
      </c>
      <c r="G384" s="9" t="s">
        <v>12</v>
      </c>
      <c r="H384" s="9">
        <v>1</v>
      </c>
    </row>
    <row r="385" spans="1:8" ht="51" x14ac:dyDescent="0.25">
      <c r="A385" s="10"/>
      <c r="B385" s="61"/>
      <c r="C385" s="98" t="s">
        <v>123</v>
      </c>
      <c r="D385" s="7" t="s">
        <v>575</v>
      </c>
      <c r="E385" s="12" t="s">
        <v>578</v>
      </c>
      <c r="F385" s="9">
        <v>1</v>
      </c>
      <c r="G385" s="9" t="s">
        <v>12</v>
      </c>
      <c r="H385" s="9">
        <v>1</v>
      </c>
    </row>
    <row r="386" spans="1:8" ht="51" x14ac:dyDescent="0.25">
      <c r="A386" s="10"/>
      <c r="B386" s="61"/>
      <c r="C386" s="98" t="s">
        <v>123</v>
      </c>
      <c r="D386" s="7" t="s">
        <v>575</v>
      </c>
      <c r="E386" s="12" t="s">
        <v>579</v>
      </c>
      <c r="F386" s="9">
        <v>1</v>
      </c>
      <c r="G386" s="9" t="s">
        <v>12</v>
      </c>
      <c r="H386" s="9">
        <v>1</v>
      </c>
    </row>
    <row r="387" spans="1:8" ht="63.75" x14ac:dyDescent="0.25">
      <c r="A387" s="10"/>
      <c r="B387" s="61"/>
      <c r="C387" s="98" t="s">
        <v>123</v>
      </c>
      <c r="D387" s="7" t="s">
        <v>575</v>
      </c>
      <c r="E387" s="12" t="s">
        <v>580</v>
      </c>
      <c r="F387" s="9">
        <v>1</v>
      </c>
      <c r="G387" s="9" t="s">
        <v>12</v>
      </c>
      <c r="H387" s="9">
        <v>1</v>
      </c>
    </row>
    <row r="388" spans="1:8" ht="51" x14ac:dyDescent="0.25">
      <c r="A388" s="10"/>
      <c r="B388" s="61"/>
      <c r="C388" s="98" t="s">
        <v>123</v>
      </c>
      <c r="D388" s="7" t="s">
        <v>575</v>
      </c>
      <c r="E388" s="12" t="s">
        <v>581</v>
      </c>
      <c r="F388" s="9">
        <v>1</v>
      </c>
      <c r="G388" s="9" t="s">
        <v>12</v>
      </c>
      <c r="H388" s="9">
        <v>1</v>
      </c>
    </row>
    <row r="389" spans="1:8" ht="51" x14ac:dyDescent="0.25">
      <c r="A389" s="10"/>
      <c r="B389" s="61"/>
      <c r="C389" s="98" t="s">
        <v>123</v>
      </c>
      <c r="D389" s="7" t="s">
        <v>575</v>
      </c>
      <c r="E389" s="12" t="s">
        <v>582</v>
      </c>
      <c r="F389" s="9">
        <v>1</v>
      </c>
      <c r="G389" s="9" t="s">
        <v>12</v>
      </c>
      <c r="H389" s="9">
        <v>1</v>
      </c>
    </row>
    <row r="390" spans="1:8" ht="63.75" x14ac:dyDescent="0.25">
      <c r="A390" s="10"/>
      <c r="B390" s="61"/>
      <c r="C390" s="98" t="s">
        <v>123</v>
      </c>
      <c r="D390" s="7" t="s">
        <v>575</v>
      </c>
      <c r="E390" s="12" t="s">
        <v>583</v>
      </c>
      <c r="F390" s="9">
        <v>1</v>
      </c>
      <c r="G390" s="9" t="s">
        <v>12</v>
      </c>
      <c r="H390" s="9">
        <v>1</v>
      </c>
    </row>
    <row r="391" spans="1:8" ht="76.5" x14ac:dyDescent="0.25">
      <c r="A391" s="10"/>
      <c r="B391" s="61"/>
      <c r="C391" s="98" t="s">
        <v>123</v>
      </c>
      <c r="D391" s="7" t="s">
        <v>575</v>
      </c>
      <c r="E391" s="12" t="s">
        <v>584</v>
      </c>
      <c r="F391" s="9">
        <v>1</v>
      </c>
      <c r="G391" s="9" t="s">
        <v>12</v>
      </c>
      <c r="H391" s="9">
        <v>1</v>
      </c>
    </row>
    <row r="392" spans="1:8" ht="76.5" x14ac:dyDescent="0.25">
      <c r="A392" s="10"/>
      <c r="B392" s="61"/>
      <c r="C392" s="6" t="s">
        <v>123</v>
      </c>
      <c r="D392" s="26" t="s">
        <v>159</v>
      </c>
      <c r="E392" s="12" t="s">
        <v>585</v>
      </c>
      <c r="F392" s="9">
        <v>1</v>
      </c>
      <c r="G392" s="9" t="s">
        <v>12</v>
      </c>
      <c r="H392" s="9">
        <v>1</v>
      </c>
    </row>
    <row r="393" spans="1:8" ht="76.5" x14ac:dyDescent="0.25">
      <c r="A393" s="10"/>
      <c r="B393" s="61"/>
      <c r="C393" s="6" t="s">
        <v>123</v>
      </c>
      <c r="D393" s="26" t="s">
        <v>159</v>
      </c>
      <c r="E393" s="12" t="s">
        <v>585</v>
      </c>
      <c r="F393" s="9">
        <v>0.5</v>
      </c>
      <c r="G393" s="9" t="s">
        <v>46</v>
      </c>
      <c r="H393" s="9">
        <v>0.5</v>
      </c>
    </row>
    <row r="394" spans="1:8" ht="63.75" x14ac:dyDescent="0.25">
      <c r="A394" s="10"/>
      <c r="B394" s="61"/>
      <c r="C394" s="6" t="s">
        <v>123</v>
      </c>
      <c r="D394" s="26" t="s">
        <v>159</v>
      </c>
      <c r="E394" s="12" t="s">
        <v>586</v>
      </c>
      <c r="F394" s="9">
        <v>1</v>
      </c>
      <c r="G394" s="9" t="s">
        <v>12</v>
      </c>
      <c r="H394" s="9">
        <v>1</v>
      </c>
    </row>
    <row r="395" spans="1:8" ht="63.75" x14ac:dyDescent="0.25">
      <c r="A395" s="10"/>
      <c r="B395" s="61"/>
      <c r="C395" s="6" t="s">
        <v>123</v>
      </c>
      <c r="D395" s="26" t="s">
        <v>159</v>
      </c>
      <c r="E395" s="12" t="s">
        <v>586</v>
      </c>
      <c r="F395" s="9">
        <v>0.5</v>
      </c>
      <c r="G395" s="9" t="s">
        <v>46</v>
      </c>
      <c r="H395" s="9">
        <v>0.5</v>
      </c>
    </row>
    <row r="396" spans="1:8" ht="63.75" x14ac:dyDescent="0.25">
      <c r="A396" s="10"/>
      <c r="B396" s="61"/>
      <c r="C396" s="6" t="s">
        <v>123</v>
      </c>
      <c r="D396" s="26" t="s">
        <v>159</v>
      </c>
      <c r="E396" s="12" t="s">
        <v>587</v>
      </c>
      <c r="F396" s="9">
        <v>1</v>
      </c>
      <c r="G396" s="9" t="s">
        <v>12</v>
      </c>
      <c r="H396" s="9">
        <v>1</v>
      </c>
    </row>
    <row r="397" spans="1:8" ht="63.75" x14ac:dyDescent="0.25">
      <c r="A397" s="14"/>
      <c r="B397" s="70"/>
      <c r="C397" s="6" t="s">
        <v>123</v>
      </c>
      <c r="D397" s="26" t="s">
        <v>159</v>
      </c>
      <c r="E397" s="12" t="s">
        <v>22</v>
      </c>
      <c r="F397" s="9">
        <v>1</v>
      </c>
      <c r="G397" s="9"/>
      <c r="H397" s="9">
        <v>1</v>
      </c>
    </row>
    <row r="398" spans="1:8" x14ac:dyDescent="0.25">
      <c r="A398" s="72" t="s">
        <v>588</v>
      </c>
      <c r="B398" s="50"/>
      <c r="C398" s="18"/>
      <c r="D398" s="35"/>
      <c r="E398" s="35"/>
      <c r="F398" s="36">
        <f>SUM(F366:F397)</f>
        <v>29.75</v>
      </c>
      <c r="G398" s="36"/>
      <c r="H398" s="36">
        <f>SUM(H366:H397)</f>
        <v>29.75</v>
      </c>
    </row>
    <row r="399" spans="1:8" ht="51" x14ac:dyDescent="0.25">
      <c r="A399" s="51" t="s">
        <v>589</v>
      </c>
      <c r="B399" s="52" t="s">
        <v>590</v>
      </c>
      <c r="C399" s="6" t="s">
        <v>591</v>
      </c>
      <c r="D399" s="7" t="s">
        <v>592</v>
      </c>
      <c r="E399" s="12" t="s">
        <v>593</v>
      </c>
      <c r="F399" s="9">
        <v>1</v>
      </c>
      <c r="G399" s="9" t="s">
        <v>12</v>
      </c>
      <c r="H399" s="9">
        <v>1</v>
      </c>
    </row>
    <row r="400" spans="1:8" ht="38.25" x14ac:dyDescent="0.25">
      <c r="A400" s="51"/>
      <c r="B400" s="52"/>
      <c r="C400" s="6" t="s">
        <v>426</v>
      </c>
      <c r="D400" s="7" t="s">
        <v>594</v>
      </c>
      <c r="E400" s="12" t="s">
        <v>595</v>
      </c>
      <c r="F400" s="9">
        <v>1</v>
      </c>
      <c r="G400" s="9" t="s">
        <v>12</v>
      </c>
      <c r="H400" s="9">
        <v>1</v>
      </c>
    </row>
    <row r="401" spans="1:8" ht="63.75" x14ac:dyDescent="0.25">
      <c r="A401" s="51"/>
      <c r="B401" s="52"/>
      <c r="C401" s="6" t="s">
        <v>591</v>
      </c>
      <c r="D401" s="7" t="s">
        <v>592</v>
      </c>
      <c r="E401" s="12" t="s">
        <v>596</v>
      </c>
      <c r="F401" s="9">
        <v>1</v>
      </c>
      <c r="G401" s="9" t="s">
        <v>12</v>
      </c>
      <c r="H401" s="9">
        <v>1</v>
      </c>
    </row>
    <row r="402" spans="1:8" ht="25.5" x14ac:dyDescent="0.25">
      <c r="A402" s="51"/>
      <c r="B402" s="52"/>
      <c r="C402" s="6" t="s">
        <v>360</v>
      </c>
      <c r="D402" s="7" t="s">
        <v>597</v>
      </c>
      <c r="E402" s="7" t="s">
        <v>598</v>
      </c>
      <c r="F402" s="9">
        <v>1</v>
      </c>
      <c r="G402" s="9" t="s">
        <v>12</v>
      </c>
      <c r="H402" s="9">
        <v>1</v>
      </c>
    </row>
    <row r="403" spans="1:8" x14ac:dyDescent="0.25">
      <c r="A403" s="34" t="s">
        <v>599</v>
      </c>
      <c r="B403" s="35"/>
      <c r="C403" s="18"/>
      <c r="D403" s="35"/>
      <c r="E403" s="35"/>
      <c r="F403" s="36">
        <f>SUM(F399:F402)</f>
        <v>4</v>
      </c>
      <c r="G403" s="36"/>
      <c r="H403" s="36">
        <f>SUM(H399:H402)</f>
        <v>4</v>
      </c>
    </row>
    <row r="404" spans="1:8" x14ac:dyDescent="0.25">
      <c r="A404" s="79" t="s">
        <v>600</v>
      </c>
      <c r="B404" s="35"/>
      <c r="C404" s="18"/>
      <c r="D404" s="35"/>
      <c r="E404" s="35"/>
      <c r="F404" s="163">
        <f>F14+F23+F26+F37+F47+F50+F55+F58+F228+F365+F398+F403</f>
        <v>260.75</v>
      </c>
      <c r="G404" s="163"/>
      <c r="H404" s="163">
        <f>H14+H23+H26+H37+H47+H50+H55+H58+H228+H365+H398+H403</f>
        <v>261.25</v>
      </c>
    </row>
  </sheetData>
  <mergeCells count="120">
    <mergeCell ref="A366:A397"/>
    <mergeCell ref="B366:B397"/>
    <mergeCell ref="A399:A402"/>
    <mergeCell ref="B399:B402"/>
    <mergeCell ref="A338:A339"/>
    <mergeCell ref="B338:B339"/>
    <mergeCell ref="A342:A343"/>
    <mergeCell ref="B342:B343"/>
    <mergeCell ref="A344:A363"/>
    <mergeCell ref="B344:B363"/>
    <mergeCell ref="A306:A316"/>
    <mergeCell ref="B306:B316"/>
    <mergeCell ref="A319:A330"/>
    <mergeCell ref="B319:B330"/>
    <mergeCell ref="A331:A337"/>
    <mergeCell ref="B331:B337"/>
    <mergeCell ref="A284:A291"/>
    <mergeCell ref="B284:B291"/>
    <mergeCell ref="A292:A297"/>
    <mergeCell ref="B292:B297"/>
    <mergeCell ref="A298:A305"/>
    <mergeCell ref="B298:B305"/>
    <mergeCell ref="A270:A276"/>
    <mergeCell ref="B270:B276"/>
    <mergeCell ref="A277:A278"/>
    <mergeCell ref="B277:B278"/>
    <mergeCell ref="A279:A281"/>
    <mergeCell ref="B279:B281"/>
    <mergeCell ref="A256:A259"/>
    <mergeCell ref="B256:B259"/>
    <mergeCell ref="A261:A263"/>
    <mergeCell ref="B261:B263"/>
    <mergeCell ref="A265:A267"/>
    <mergeCell ref="B265:B267"/>
    <mergeCell ref="A231:A240"/>
    <mergeCell ref="B231:B240"/>
    <mergeCell ref="C235:C236"/>
    <mergeCell ref="A241:A251"/>
    <mergeCell ref="B241:B251"/>
    <mergeCell ref="A252:A255"/>
    <mergeCell ref="B252:B255"/>
    <mergeCell ref="A212:A213"/>
    <mergeCell ref="B212:B213"/>
    <mergeCell ref="A215:A216"/>
    <mergeCell ref="B215:B216"/>
    <mergeCell ref="A219:A225"/>
    <mergeCell ref="B219:B225"/>
    <mergeCell ref="A187:A198"/>
    <mergeCell ref="B187:B198"/>
    <mergeCell ref="A202:A203"/>
    <mergeCell ref="B202:B203"/>
    <mergeCell ref="A205:A210"/>
    <mergeCell ref="B205:B210"/>
    <mergeCell ref="A154:A167"/>
    <mergeCell ref="B154:B167"/>
    <mergeCell ref="A170:A172"/>
    <mergeCell ref="B170:B172"/>
    <mergeCell ref="A175:A185"/>
    <mergeCell ref="B175:B185"/>
    <mergeCell ref="A121:A126"/>
    <mergeCell ref="B121:B126"/>
    <mergeCell ref="A128:A132"/>
    <mergeCell ref="B128:B132"/>
    <mergeCell ref="A134:A151"/>
    <mergeCell ref="B134:B151"/>
    <mergeCell ref="A102:A107"/>
    <mergeCell ref="B102:B107"/>
    <mergeCell ref="A109:A112"/>
    <mergeCell ref="B109:B112"/>
    <mergeCell ref="A114:A117"/>
    <mergeCell ref="B114:B117"/>
    <mergeCell ref="A93:A94"/>
    <mergeCell ref="B93:B94"/>
    <mergeCell ref="A95:A99"/>
    <mergeCell ref="B95:B99"/>
    <mergeCell ref="A100:A101"/>
    <mergeCell ref="B100:B101"/>
    <mergeCell ref="A74:A78"/>
    <mergeCell ref="B74:B78"/>
    <mergeCell ref="A81:A87"/>
    <mergeCell ref="B81:B87"/>
    <mergeCell ref="C81:C82"/>
    <mergeCell ref="A88:A90"/>
    <mergeCell ref="B88:B90"/>
    <mergeCell ref="A66:A67"/>
    <mergeCell ref="B66:B67"/>
    <mergeCell ref="A68:A69"/>
    <mergeCell ref="B68:B69"/>
    <mergeCell ref="A72:A73"/>
    <mergeCell ref="B72:B73"/>
    <mergeCell ref="A51:A54"/>
    <mergeCell ref="B51:B54"/>
    <mergeCell ref="A56:A57"/>
    <mergeCell ref="B56:B57"/>
    <mergeCell ref="A61:A65"/>
    <mergeCell ref="B61:B65"/>
    <mergeCell ref="A38:A42"/>
    <mergeCell ref="B38:B42"/>
    <mergeCell ref="A44:A45"/>
    <mergeCell ref="B44:B45"/>
    <mergeCell ref="A48:A49"/>
    <mergeCell ref="B48:B49"/>
    <mergeCell ref="A24:A25"/>
    <mergeCell ref="B24:B25"/>
    <mergeCell ref="A27:A32"/>
    <mergeCell ref="B27:B32"/>
    <mergeCell ref="A34:A35"/>
    <mergeCell ref="B34:B35"/>
    <mergeCell ref="H1:H2"/>
    <mergeCell ref="A3:A9"/>
    <mergeCell ref="B3:B9"/>
    <mergeCell ref="B11:B12"/>
    <mergeCell ref="A15:A22"/>
    <mergeCell ref="B15:B22"/>
    <mergeCell ref="A1:A2"/>
    <mergeCell ref="B1:B2"/>
    <mergeCell ref="C1:C2"/>
    <mergeCell ref="D1:D2"/>
    <mergeCell ref="E1:E2"/>
    <mergeCell ref="F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2026-03-19T05:57:07Z</dcterms:modified>
</cp:coreProperties>
</file>