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4" i="1" s="1"/>
  <c r="H10" i="1"/>
  <c r="H14" i="1" s="1"/>
  <c r="F13" i="1"/>
  <c r="H13" i="1"/>
  <c r="F23" i="1"/>
  <c r="H23" i="1"/>
  <c r="F26" i="1"/>
  <c r="H26" i="1"/>
  <c r="F33" i="1"/>
  <c r="H33" i="1"/>
  <c r="F36" i="1"/>
  <c r="H36" i="1"/>
  <c r="H37" i="1" s="1"/>
  <c r="F37" i="1"/>
  <c r="F43" i="1"/>
  <c r="F47" i="1" s="1"/>
  <c r="H43" i="1"/>
  <c r="H47" i="1" s="1"/>
  <c r="F46" i="1"/>
  <c r="H46" i="1"/>
  <c r="F50" i="1"/>
  <c r="H50" i="1"/>
  <c r="F55" i="1"/>
  <c r="H55" i="1"/>
  <c r="F58" i="1"/>
  <c r="H58" i="1"/>
  <c r="F70" i="1"/>
  <c r="H70" i="1"/>
  <c r="F79" i="1"/>
  <c r="H79" i="1"/>
  <c r="F91" i="1"/>
  <c r="H91" i="1"/>
  <c r="F108" i="1"/>
  <c r="H108" i="1"/>
  <c r="F113" i="1"/>
  <c r="H113" i="1"/>
</calcChain>
</file>

<file path=xl/sharedStrings.xml><?xml version="1.0" encoding="utf-8"?>
<sst xmlns="http://schemas.openxmlformats.org/spreadsheetml/2006/main" count="435" uniqueCount="224">
  <si>
    <t>№ п/п</t>
  </si>
  <si>
    <t>Структурное подразделение</t>
  </si>
  <si>
    <t>ПКГ</t>
  </si>
  <si>
    <t>Должность</t>
  </si>
  <si>
    <t>ФИО</t>
  </si>
  <si>
    <t>Объем работы по данной должностис указанием вида работы</t>
  </si>
  <si>
    <t>Фактическая занятость</t>
  </si>
  <si>
    <t>1.</t>
  </si>
  <si>
    <t>Руководство</t>
  </si>
  <si>
    <t>8.3</t>
  </si>
  <si>
    <t>Генеральный директор</t>
  </si>
  <si>
    <t>Аклеев Александр Васильевич</t>
  </si>
  <si>
    <t>Основное</t>
  </si>
  <si>
    <t>8.2</t>
  </si>
  <si>
    <t xml:space="preserve">Первый заместитель Генерального директора </t>
  </si>
  <si>
    <t>Никифоров Владисла Сергеевич</t>
  </si>
  <si>
    <t>4.4.1</t>
  </si>
  <si>
    <t>Главный научный сотрудник (курирующая вопросы науки и инновационного развития)</t>
  </si>
  <si>
    <t>Кузнецова Ирина Сергеевна (Озёрск)</t>
  </si>
  <si>
    <t>Главный научный сотрудник (курирующая вопросы радиационной безопасности)</t>
  </si>
  <si>
    <t>Соколова Александра Борисовна (Озёрск)</t>
  </si>
  <si>
    <t>Заместитель Генерального директора по общим вопросам</t>
  </si>
  <si>
    <t>Вакансия</t>
  </si>
  <si>
    <t>Научный руководитель</t>
  </si>
  <si>
    <t>7.1</t>
  </si>
  <si>
    <t>Юрисконсульт</t>
  </si>
  <si>
    <t>1.1</t>
  </si>
  <si>
    <t>Секретариат</t>
  </si>
  <si>
    <t>Документовед</t>
  </si>
  <si>
    <t>Береговая Ольга Алекандровна</t>
  </si>
  <si>
    <t>Марченко Наталья Александровна (Озёрск)</t>
  </si>
  <si>
    <t>Итого по разделу 1</t>
  </si>
  <si>
    <t>2.</t>
  </si>
  <si>
    <t>Научно-методический отдел</t>
  </si>
  <si>
    <t>4.2.2</t>
  </si>
  <si>
    <t>Начальник отдела - ученый секретарь</t>
  </si>
  <si>
    <t xml:space="preserve">Кодинцева Екатерина Александровна </t>
  </si>
  <si>
    <t>Внутреннее совместительство</t>
  </si>
  <si>
    <t>по дек. 2025</t>
  </si>
  <si>
    <t>7.4.1</t>
  </si>
  <si>
    <t>Ведущий специалист</t>
  </si>
  <si>
    <t>Большакова Светлана Александровна</t>
  </si>
  <si>
    <t>Кочева Алевтина Борисовна (Озёрск)</t>
  </si>
  <si>
    <t>Инженер</t>
  </si>
  <si>
    <t xml:space="preserve">Бурак Елена Николаевна (Озёрск) </t>
  </si>
  <si>
    <t>Булавина Ирина Константиновна (Озёрск)</t>
  </si>
  <si>
    <t>Совмещение</t>
  </si>
  <si>
    <t>Библиотекарь</t>
  </si>
  <si>
    <t>Котова Надежда Сергеевна</t>
  </si>
  <si>
    <t>Инженер по метрологии</t>
  </si>
  <si>
    <t xml:space="preserve">Лукиных Татьяна Леонидовна </t>
  </si>
  <si>
    <t>Итого по разделу 2</t>
  </si>
  <si>
    <t>3.</t>
  </si>
  <si>
    <t>Режимно-секретное подразделение</t>
  </si>
  <si>
    <t>8.1.2.1</t>
  </si>
  <si>
    <t>Руководитель режимно-секретного подразделения</t>
  </si>
  <si>
    <t xml:space="preserve">Береговая Ольга Александровна </t>
  </si>
  <si>
    <t>6.1</t>
  </si>
  <si>
    <t>Штатный специалист по режиму секретности</t>
  </si>
  <si>
    <t>Итого по разделу 3</t>
  </si>
  <si>
    <t>4.</t>
  </si>
  <si>
    <t>Отдел бухгалтерского учета и отчетности</t>
  </si>
  <si>
    <t>Главный бухгалтер</t>
  </si>
  <si>
    <t>Громыко Юлия Анатольевна</t>
  </si>
  <si>
    <t>7.5</t>
  </si>
  <si>
    <t>Заместитель главного бухгалтера</t>
  </si>
  <si>
    <t>Золотарёва Мария Николаевна</t>
  </si>
  <si>
    <t>Ведущий бухгалтер</t>
  </si>
  <si>
    <t>Мартыняк Сергей Сергеевич (Озёрск)</t>
  </si>
  <si>
    <t>Бухгалтер</t>
  </si>
  <si>
    <t>Рогожина Елена Николаевна</t>
  </si>
  <si>
    <t>Юдина Любовь Григорьевна</t>
  </si>
  <si>
    <t>4.1.</t>
  </si>
  <si>
    <t>Планово-экономическая группа</t>
  </si>
  <si>
    <t>8.1.3</t>
  </si>
  <si>
    <t>Руководитель группы</t>
  </si>
  <si>
    <t>Пялина Ольга Игоревна</t>
  </si>
  <si>
    <t>Экономист</t>
  </si>
  <si>
    <t>Итого по разделу 4</t>
  </si>
  <si>
    <t>5.</t>
  </si>
  <si>
    <t>Информационно-аналитический отдел</t>
  </si>
  <si>
    <t>8.1.2.2</t>
  </si>
  <si>
    <t>Начальник отдела</t>
  </si>
  <si>
    <t>Клопотюк Евгений Викторович</t>
  </si>
  <si>
    <t>Ведущий специалист по информационным ресурсам</t>
  </si>
  <si>
    <t>Гарбузова Алла Юрьевна</t>
  </si>
  <si>
    <t>7.4.2</t>
  </si>
  <si>
    <t>Ведущий системный администратор</t>
  </si>
  <si>
    <t>Арутюнян Овсеп Гарегинович (Озёрск)</t>
  </si>
  <si>
    <t>Ведущий инженер-программист</t>
  </si>
  <si>
    <t>Котельников Александр Олегович (Озёрск)</t>
  </si>
  <si>
    <t>Администратор информационной безопасности</t>
  </si>
  <si>
    <t xml:space="preserve">Котельников Александр Олегович (Озёрск) </t>
  </si>
  <si>
    <t>5.1.</t>
  </si>
  <si>
    <t>Группа международных отношений</t>
  </si>
  <si>
    <t>Павлюк Анастасия Владимировна (Озёрск)</t>
  </si>
  <si>
    <t>Итого по разделу 5</t>
  </si>
  <si>
    <t>6.</t>
  </si>
  <si>
    <t>Группа организации и проведения закупок</t>
  </si>
  <si>
    <t>Вербицкий Виктор Анатольевич</t>
  </si>
  <si>
    <t>Ведущий специалист по закупкам</t>
  </si>
  <si>
    <t>Ежова Надежда Николаевна (Озёрск)</t>
  </si>
  <si>
    <t>Итого по разделу 6</t>
  </si>
  <si>
    <t>7.</t>
  </si>
  <si>
    <t>Группа по охране труда и гражданской обороне</t>
  </si>
  <si>
    <t>8.1.1</t>
  </si>
  <si>
    <t>Иваненко Вера Николаевна</t>
  </si>
  <si>
    <t>Специалист по охране труда</t>
  </si>
  <si>
    <t>Поротова Валентина Юрьевна (Озёрск)</t>
  </si>
  <si>
    <t>Специалист по гражданской обороне</t>
  </si>
  <si>
    <t xml:space="preserve">Иваненко Вера Николаевна </t>
  </si>
  <si>
    <t>Постникова Анастасия Владимировна (Озёрск)</t>
  </si>
  <si>
    <t>Итого по разделу 7</t>
  </si>
  <si>
    <t>Кадровая служба</t>
  </si>
  <si>
    <t>Руководитель службы</t>
  </si>
  <si>
    <t>Пшеничникова Елена Юрьевна</t>
  </si>
  <si>
    <t>Специалист по кадрам</t>
  </si>
  <si>
    <t>Немогаева Ирина Григорьевна (Озёрск)</t>
  </si>
  <si>
    <t>Итого по разделу 8</t>
  </si>
  <si>
    <t>9</t>
  </si>
  <si>
    <t>Научно-исследовательский институт радиационной биологии и радиационной медицины</t>
  </si>
  <si>
    <t>Директор - главный научный сотрудник</t>
  </si>
  <si>
    <t>Блинова Евгения Андреевна</t>
  </si>
  <si>
    <t>9.1</t>
  </si>
  <si>
    <t>Научно-исследовательский отдел молекулярной радиобиологии</t>
  </si>
  <si>
    <t>9.1.1</t>
  </si>
  <si>
    <t>Научно-исследовательская лаборатория молекулярной генетики и генной инженерии</t>
  </si>
  <si>
    <t>4.1.3</t>
  </si>
  <si>
    <t>Научный сотрудник</t>
  </si>
  <si>
    <t>Кореченкова Анастасия Витальевна</t>
  </si>
  <si>
    <t>4.1.2</t>
  </si>
  <si>
    <t>Младший научный сотрудник</t>
  </si>
  <si>
    <t>2.4</t>
  </si>
  <si>
    <t>Старший техник</t>
  </si>
  <si>
    <t>Шафикова Фаина Харисовна</t>
  </si>
  <si>
    <t>Старший лаборант</t>
  </si>
  <si>
    <t>Куприянов Артём Андреевич</t>
  </si>
  <si>
    <t>Силантьев Иван Владимирович (Озёрск)</t>
  </si>
  <si>
    <t>9.1.2</t>
  </si>
  <si>
    <t>Научно-исследовательская лаборатория постгеномных исследований</t>
  </si>
  <si>
    <t>Янишевская Мария Александровна</t>
  </si>
  <si>
    <t>вакансия</t>
  </si>
  <si>
    <t>9.1.3</t>
  </si>
  <si>
    <t>Научно-исследовательская группа синтеза олигонуклеотидов</t>
  </si>
  <si>
    <t>Руководитель группы - младший научный сотрудник</t>
  </si>
  <si>
    <t>9.2</t>
  </si>
  <si>
    <t>Научно-исследовательский отдел радиационной цитогенетики</t>
  </si>
  <si>
    <t>4.3.1</t>
  </si>
  <si>
    <t xml:space="preserve">Начальник отдела - ведущий научный сотрудник </t>
  </si>
  <si>
    <t>Ахмадуллина Юлия Рафисовна</t>
  </si>
  <si>
    <t>9.2.1</t>
  </si>
  <si>
    <t>Научно-исследовательская лаборатория биодозиметрии</t>
  </si>
  <si>
    <t>Синельщикова Ольга Александровна (Озёрск)</t>
  </si>
  <si>
    <t>Ботыгина Дарья Алексеевна</t>
  </si>
  <si>
    <t>9.2.2</t>
  </si>
  <si>
    <t>Научно-исследовательская лаборатория молекулярно-цитогенетических исследований</t>
  </si>
  <si>
    <t>Кривощапова Яна Владимировна</t>
  </si>
  <si>
    <t>Куприянова Анастасия Вениаминовна</t>
  </si>
  <si>
    <t>Величутина Елена Валерьевна</t>
  </si>
  <si>
    <t>Уборщик служебных помещений</t>
  </si>
  <si>
    <t>Соколова Татьяна Николаевна</t>
  </si>
  <si>
    <t>9.3</t>
  </si>
  <si>
    <t>Научно-исследовательский отдел клеточных технологий</t>
  </si>
  <si>
    <t>9.3.1</t>
  </si>
  <si>
    <t>Научно-исследовательская лаборатория радиационной иммунологии и иммуногенетики</t>
  </si>
  <si>
    <t>Заведующий лабораторией - ведущий научный сотрудник</t>
  </si>
  <si>
    <t>Аклеев Андрей Александрович</t>
  </si>
  <si>
    <t>Ведущий научный сотрудник</t>
  </si>
  <si>
    <t>Кодинцева Екатерина Александровна</t>
  </si>
  <si>
    <t>Ослина Дарья Сергеевна (Озёрск)</t>
  </si>
  <si>
    <t>Адамова Галина Владимировна (Озёрск)</t>
  </si>
  <si>
    <t>Хоменко Полина Олеговна</t>
  </si>
  <si>
    <t>Городкова Марина Геннадьевна (Озёрск)</t>
  </si>
  <si>
    <t>Васютинская Екатерина Алексеевна</t>
  </si>
  <si>
    <t>9.3.2</t>
  </si>
  <si>
    <t>Научно-исследовательская лаборатория гистопатологии и клеточных биотехнологий</t>
  </si>
  <si>
    <t>Заведующий лабораторией - научный сотрудник</t>
  </si>
  <si>
    <t>Котикова Алиса Игоревна</t>
  </si>
  <si>
    <t>Тюхай Максим Викторович</t>
  </si>
  <si>
    <t>Литвиненко Надежда Петровна</t>
  </si>
  <si>
    <t>9.4</t>
  </si>
  <si>
    <t>Научно-исследовательский  экспериментальный отдел</t>
  </si>
  <si>
    <t>Пряхин Евгений Александрович</t>
  </si>
  <si>
    <t>9.4.1.</t>
  </si>
  <si>
    <t>Научно-исследовательская лаборатория экспериментальной радиобиологии</t>
  </si>
  <si>
    <t>4.2.1</t>
  </si>
  <si>
    <t xml:space="preserve">Заведующий лабораторией - старший научный сотрудник </t>
  </si>
  <si>
    <t>Атаманюк Наталья Игоревна</t>
  </si>
  <si>
    <t>Внешнее совместительсво</t>
  </si>
  <si>
    <t>9.4.2</t>
  </si>
  <si>
    <t>Научно-исследовательская лаборатория радиофармпрепаратов</t>
  </si>
  <si>
    <t>Стяжкина Елена Владимировна</t>
  </si>
  <si>
    <t>Перетыкин Андрей Анатольевич</t>
  </si>
  <si>
    <t>3.3</t>
  </si>
  <si>
    <t>Старший инженер</t>
  </si>
  <si>
    <t xml:space="preserve">Ахмадуллин Роман Марселевич </t>
  </si>
  <si>
    <t>Андреева Анастасия Сергеевна</t>
  </si>
  <si>
    <t>9.4.3</t>
  </si>
  <si>
    <t>Научно-исследовательская лаборатория доклинических исследований</t>
  </si>
  <si>
    <t xml:space="preserve">Старший научный сотрудник </t>
  </si>
  <si>
    <t>Шапошникова Ирина Александровна</t>
  </si>
  <si>
    <t>9.4.4</t>
  </si>
  <si>
    <t>Научно-исследовательская лаборатория биологических моделей и виварий</t>
  </si>
  <si>
    <t>Заведующий лабораторией - старший научный сотрудник</t>
  </si>
  <si>
    <t xml:space="preserve">Андреев Сергей Сергеевич </t>
  </si>
  <si>
    <t>Обвинцева Надежда Александровна</t>
  </si>
  <si>
    <t xml:space="preserve">Старший лаборант </t>
  </si>
  <si>
    <t>Чистякова Мария Максимовна</t>
  </si>
  <si>
    <t>Гайсина Рината Мухаметовна</t>
  </si>
  <si>
    <t>Уборщик помещения</t>
  </si>
  <si>
    <t xml:space="preserve">Гайсина Рината Мухаметовна </t>
  </si>
  <si>
    <t>Ветеринарный врач</t>
  </si>
  <si>
    <t>9.5</t>
  </si>
  <si>
    <t>Научно-исследовательский отдел обработки и анализа больших данных</t>
  </si>
  <si>
    <t>Начальник отдела - научный сотрудник</t>
  </si>
  <si>
    <t>Шарагин Павел Алексеевич</t>
  </si>
  <si>
    <t>Инженер-программист</t>
  </si>
  <si>
    <t>9.6</t>
  </si>
  <si>
    <t xml:space="preserve">Уральский радиобиологический биобанк </t>
  </si>
  <si>
    <t>4.1.4</t>
  </si>
  <si>
    <t>Руководитель биобанка</t>
  </si>
  <si>
    <t>Баранова Жанна Георгиевна (Озёрск)</t>
  </si>
  <si>
    <t>Сарварова Наталья Анатольевна (Озёрск)</t>
  </si>
  <si>
    <t>Слукинова Юлия Викторовна (Озёрск)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</si>
</sst>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trike/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left" vertical="center" wrapText="1"/>
    </xf>
    <xf numFmtId="2" fontId="2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2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2" fontId="2" fillId="3" borderId="3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2" fontId="2" fillId="0" borderId="3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49" fontId="2" fillId="3" borderId="0" xfId="0" applyNumberFormat="1" applyFont="1" applyFill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3" borderId="2" xfId="0" applyNumberFormat="1" applyFont="1" applyFill="1" applyBorder="1" applyAlignment="1">
      <alignment horizontal="center" vertical="top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2" fillId="3" borderId="4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3" xfId="0" applyNumberFormat="1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top" wrapText="1"/>
    </xf>
    <xf numFmtId="49" fontId="1" fillId="3" borderId="4" xfId="0" applyNumberFormat="1" applyFont="1" applyFill="1" applyBorder="1" applyAlignment="1">
      <alignment horizontal="center" vertical="top" wrapText="1"/>
    </xf>
    <xf numFmtId="49" fontId="1" fillId="3" borderId="3" xfId="0" applyNumberFormat="1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4"/>
  <sheetViews>
    <sheetView tabSelected="1" topLeftCell="A106" workbookViewId="0">
      <selection activeCell="D122" sqref="D122"/>
    </sheetView>
  </sheetViews>
  <sheetFormatPr defaultRowHeight="15" x14ac:dyDescent="0.25"/>
  <cols>
    <col min="2" max="2" width="38" bestFit="1" customWidth="1"/>
    <col min="3" max="3" width="5.7109375" bestFit="1" customWidth="1"/>
    <col min="4" max="4" width="32.7109375" bestFit="1" customWidth="1"/>
    <col min="5" max="5" width="33" bestFit="1" customWidth="1"/>
    <col min="7" max="7" width="11.28515625" bestFit="1" customWidth="1"/>
    <col min="8" max="8" width="20.7109375" bestFit="1" customWidth="1"/>
  </cols>
  <sheetData>
    <row r="1" spans="1:8" x14ac:dyDescent="0.25">
      <c r="A1" s="110" t="s">
        <v>0</v>
      </c>
      <c r="B1" s="110" t="s">
        <v>1</v>
      </c>
      <c r="C1" s="112" t="s">
        <v>2</v>
      </c>
      <c r="D1" s="110" t="s">
        <v>3</v>
      </c>
      <c r="E1" s="110" t="s">
        <v>4</v>
      </c>
      <c r="F1" s="110" t="s">
        <v>5</v>
      </c>
      <c r="G1" s="110"/>
      <c r="H1" s="110" t="s">
        <v>6</v>
      </c>
    </row>
    <row r="2" spans="1:8" x14ac:dyDescent="0.25">
      <c r="A2" s="110"/>
      <c r="B2" s="110"/>
      <c r="C2" s="113"/>
      <c r="D2" s="110"/>
      <c r="E2" s="110"/>
      <c r="F2" s="110"/>
      <c r="G2" s="110"/>
      <c r="H2" s="110"/>
    </row>
    <row r="3" spans="1:8" x14ac:dyDescent="0.25">
      <c r="A3" s="64" t="s">
        <v>7</v>
      </c>
      <c r="B3" s="100" t="s">
        <v>8</v>
      </c>
      <c r="C3" s="1" t="s">
        <v>9</v>
      </c>
      <c r="D3" s="2" t="s">
        <v>10</v>
      </c>
      <c r="E3" s="3" t="s">
        <v>11</v>
      </c>
      <c r="F3" s="4">
        <v>1</v>
      </c>
      <c r="G3" s="4" t="s">
        <v>12</v>
      </c>
      <c r="H3" s="4">
        <v>1</v>
      </c>
    </row>
    <row r="4" spans="1:8" ht="25.5" x14ac:dyDescent="0.25">
      <c r="A4" s="65"/>
      <c r="B4" s="101"/>
      <c r="C4" s="1" t="s">
        <v>13</v>
      </c>
      <c r="D4" s="2" t="s">
        <v>14</v>
      </c>
      <c r="E4" s="3" t="s">
        <v>15</v>
      </c>
      <c r="F4" s="4">
        <v>1</v>
      </c>
      <c r="G4" s="4" t="s">
        <v>12</v>
      </c>
      <c r="H4" s="4">
        <v>1</v>
      </c>
    </row>
    <row r="5" spans="1:8" ht="38.25" x14ac:dyDescent="0.25">
      <c r="A5" s="65"/>
      <c r="B5" s="101"/>
      <c r="C5" s="1" t="s">
        <v>16</v>
      </c>
      <c r="D5" s="2" t="s">
        <v>17</v>
      </c>
      <c r="E5" s="3" t="s">
        <v>18</v>
      </c>
      <c r="F5" s="4">
        <v>1</v>
      </c>
      <c r="G5" s="4" t="s">
        <v>12</v>
      </c>
      <c r="H5" s="4">
        <v>1</v>
      </c>
    </row>
    <row r="6" spans="1:8" ht="38.25" x14ac:dyDescent="0.25">
      <c r="A6" s="65"/>
      <c r="B6" s="101"/>
      <c r="C6" s="1" t="s">
        <v>16</v>
      </c>
      <c r="D6" s="2" t="s">
        <v>19</v>
      </c>
      <c r="E6" s="3" t="s">
        <v>20</v>
      </c>
      <c r="F6" s="4">
        <v>1</v>
      </c>
      <c r="G6" s="4" t="s">
        <v>12</v>
      </c>
      <c r="H6" s="4">
        <v>1</v>
      </c>
    </row>
    <row r="7" spans="1:8" ht="25.5" x14ac:dyDescent="0.25">
      <c r="A7" s="65"/>
      <c r="B7" s="101"/>
      <c r="C7" s="1" t="s">
        <v>13</v>
      </c>
      <c r="D7" s="2" t="s">
        <v>21</v>
      </c>
      <c r="E7" s="3" t="s">
        <v>22</v>
      </c>
      <c r="F7" s="4">
        <v>1</v>
      </c>
      <c r="G7" s="4"/>
      <c r="H7" s="4">
        <v>1</v>
      </c>
    </row>
    <row r="8" spans="1:8" x14ac:dyDescent="0.25">
      <c r="A8" s="65"/>
      <c r="B8" s="101"/>
      <c r="C8" s="1" t="s">
        <v>16</v>
      </c>
      <c r="D8" s="2" t="s">
        <v>23</v>
      </c>
      <c r="E8" s="5" t="s">
        <v>22</v>
      </c>
      <c r="F8" s="4">
        <v>1</v>
      </c>
      <c r="G8" s="4"/>
      <c r="H8" s="6">
        <v>1</v>
      </c>
    </row>
    <row r="9" spans="1:8" x14ac:dyDescent="0.25">
      <c r="A9" s="66"/>
      <c r="B9" s="109"/>
      <c r="C9" s="1" t="s">
        <v>24</v>
      </c>
      <c r="D9" s="2" t="s">
        <v>25</v>
      </c>
      <c r="E9" s="5" t="s">
        <v>22</v>
      </c>
      <c r="F9" s="4">
        <v>1</v>
      </c>
      <c r="G9" s="4"/>
      <c r="H9" s="4">
        <v>1</v>
      </c>
    </row>
    <row r="10" spans="1:8" x14ac:dyDescent="0.25">
      <c r="A10" s="7"/>
      <c r="B10" s="8"/>
      <c r="C10" s="9"/>
      <c r="D10" s="10"/>
      <c r="E10" s="11"/>
      <c r="F10" s="12">
        <f>SUM(F3:F9)</f>
        <v>7</v>
      </c>
      <c r="G10" s="12"/>
      <c r="H10" s="13">
        <f>SUM(H3:H9)</f>
        <v>7</v>
      </c>
    </row>
    <row r="11" spans="1:8" x14ac:dyDescent="0.25">
      <c r="A11" s="14" t="s">
        <v>26</v>
      </c>
      <c r="B11" s="89" t="s">
        <v>27</v>
      </c>
      <c r="C11" s="15" t="s">
        <v>24</v>
      </c>
      <c r="D11" s="16" t="s">
        <v>28</v>
      </c>
      <c r="E11" s="2" t="s">
        <v>29</v>
      </c>
      <c r="F11" s="17">
        <v>1</v>
      </c>
      <c r="G11" s="4" t="s">
        <v>12</v>
      </c>
      <c r="H11" s="17">
        <v>1</v>
      </c>
    </row>
    <row r="12" spans="1:8" ht="25.5" x14ac:dyDescent="0.25">
      <c r="A12" s="18"/>
      <c r="B12" s="91"/>
      <c r="C12" s="15" t="s">
        <v>24</v>
      </c>
      <c r="D12" s="16" t="s">
        <v>28</v>
      </c>
      <c r="E12" s="2" t="s">
        <v>30</v>
      </c>
      <c r="F12" s="17">
        <v>1</v>
      </c>
      <c r="G12" s="4" t="s">
        <v>12</v>
      </c>
      <c r="H12" s="17">
        <v>1</v>
      </c>
    </row>
    <row r="13" spans="1:8" x14ac:dyDescent="0.25">
      <c r="A13" s="19"/>
      <c r="B13" s="20"/>
      <c r="C13" s="9"/>
      <c r="D13" s="21"/>
      <c r="E13" s="22"/>
      <c r="F13" s="12">
        <f>F11+F12</f>
        <v>2</v>
      </c>
      <c r="G13" s="12"/>
      <c r="H13" s="12">
        <f>H11+H12</f>
        <v>2</v>
      </c>
    </row>
    <row r="14" spans="1:8" x14ac:dyDescent="0.25">
      <c r="A14" s="23" t="s">
        <v>31</v>
      </c>
      <c r="B14" s="24"/>
      <c r="C14" s="9"/>
      <c r="D14" s="11"/>
      <c r="E14" s="11"/>
      <c r="F14" s="25">
        <f>F10+F13</f>
        <v>9</v>
      </c>
      <c r="G14" s="25"/>
      <c r="H14" s="25">
        <f>H10+H13</f>
        <v>9</v>
      </c>
    </row>
    <row r="15" spans="1:8" ht="38.25" x14ac:dyDescent="0.25">
      <c r="A15" s="64" t="s">
        <v>32</v>
      </c>
      <c r="B15" s="104" t="s">
        <v>33</v>
      </c>
      <c r="C15" s="1" t="s">
        <v>34</v>
      </c>
      <c r="D15" s="16" t="s">
        <v>35</v>
      </c>
      <c r="E15" s="26" t="s">
        <v>36</v>
      </c>
      <c r="F15" s="27">
        <v>0.5</v>
      </c>
      <c r="G15" s="27" t="s">
        <v>37</v>
      </c>
      <c r="H15" s="27">
        <v>0.5</v>
      </c>
    </row>
    <row r="16" spans="1:8" x14ac:dyDescent="0.25">
      <c r="A16" s="65"/>
      <c r="B16" s="105"/>
      <c r="C16" s="1" t="s">
        <v>34</v>
      </c>
      <c r="D16" s="16" t="s">
        <v>35</v>
      </c>
      <c r="E16" s="26" t="s">
        <v>22</v>
      </c>
      <c r="F16" s="27">
        <v>0.5</v>
      </c>
      <c r="G16" s="28" t="s">
        <v>38</v>
      </c>
      <c r="H16" s="27">
        <v>0.5</v>
      </c>
    </row>
    <row r="17" spans="1:8" x14ac:dyDescent="0.25">
      <c r="A17" s="65"/>
      <c r="B17" s="105"/>
      <c r="C17" s="1" t="s">
        <v>39</v>
      </c>
      <c r="D17" s="2" t="s">
        <v>40</v>
      </c>
      <c r="E17" s="26" t="s">
        <v>41</v>
      </c>
      <c r="F17" s="27">
        <v>0.5</v>
      </c>
      <c r="G17" s="27" t="s">
        <v>12</v>
      </c>
      <c r="H17" s="27">
        <v>0.5</v>
      </c>
    </row>
    <row r="18" spans="1:8" x14ac:dyDescent="0.25">
      <c r="A18" s="65"/>
      <c r="B18" s="105"/>
      <c r="C18" s="1" t="s">
        <v>39</v>
      </c>
      <c r="D18" s="2" t="s">
        <v>40</v>
      </c>
      <c r="E18" s="26" t="s">
        <v>42</v>
      </c>
      <c r="F18" s="27">
        <v>1</v>
      </c>
      <c r="G18" s="27" t="s">
        <v>12</v>
      </c>
      <c r="H18" s="27">
        <v>1</v>
      </c>
    </row>
    <row r="19" spans="1:8" x14ac:dyDescent="0.25">
      <c r="A19" s="65"/>
      <c r="B19" s="105"/>
      <c r="C19" s="1"/>
      <c r="D19" s="29" t="s">
        <v>43</v>
      </c>
      <c r="E19" s="26" t="s">
        <v>44</v>
      </c>
      <c r="F19" s="30">
        <v>1</v>
      </c>
      <c r="G19" s="30" t="s">
        <v>12</v>
      </c>
      <c r="H19" s="30">
        <v>1</v>
      </c>
    </row>
    <row r="20" spans="1:8" ht="25.5" x14ac:dyDescent="0.25">
      <c r="A20" s="65"/>
      <c r="B20" s="105"/>
      <c r="C20" s="1"/>
      <c r="D20" s="29" t="s">
        <v>43</v>
      </c>
      <c r="E20" s="26" t="s">
        <v>45</v>
      </c>
      <c r="F20" s="30">
        <v>0.5</v>
      </c>
      <c r="G20" s="30" t="s">
        <v>46</v>
      </c>
      <c r="H20" s="30">
        <v>0.5</v>
      </c>
    </row>
    <row r="21" spans="1:8" x14ac:dyDescent="0.25">
      <c r="A21" s="65"/>
      <c r="B21" s="105"/>
      <c r="C21" s="1" t="s">
        <v>24</v>
      </c>
      <c r="D21" s="2" t="s">
        <v>47</v>
      </c>
      <c r="E21" s="3" t="s">
        <v>48</v>
      </c>
      <c r="F21" s="4">
        <v>0.5</v>
      </c>
      <c r="G21" s="4" t="s">
        <v>46</v>
      </c>
      <c r="H21" s="31">
        <v>0.5</v>
      </c>
    </row>
    <row r="22" spans="1:8" x14ac:dyDescent="0.25">
      <c r="A22" s="111"/>
      <c r="B22" s="103"/>
      <c r="C22" s="32" t="s">
        <v>24</v>
      </c>
      <c r="D22" s="33" t="s">
        <v>49</v>
      </c>
      <c r="E22" s="2" t="s">
        <v>50</v>
      </c>
      <c r="F22" s="34">
        <v>0.5</v>
      </c>
      <c r="G22" s="4" t="s">
        <v>46</v>
      </c>
      <c r="H22" s="17">
        <v>0.5</v>
      </c>
    </row>
    <row r="23" spans="1:8" x14ac:dyDescent="0.25">
      <c r="A23" s="23" t="s">
        <v>51</v>
      </c>
      <c r="B23" s="35"/>
      <c r="C23" s="9"/>
      <c r="D23" s="11"/>
      <c r="E23" s="11"/>
      <c r="F23" s="25">
        <f>SUM(F15:F22)</f>
        <v>5</v>
      </c>
      <c r="G23" s="25"/>
      <c r="H23" s="25">
        <f>SUM(H15:H22)</f>
        <v>5</v>
      </c>
    </row>
    <row r="24" spans="1:8" ht="38.25" x14ac:dyDescent="0.25">
      <c r="A24" s="64" t="s">
        <v>52</v>
      </c>
      <c r="B24" s="104" t="s">
        <v>53</v>
      </c>
      <c r="C24" s="1" t="s">
        <v>54</v>
      </c>
      <c r="D24" s="2" t="s">
        <v>55</v>
      </c>
      <c r="E24" s="3" t="s">
        <v>56</v>
      </c>
      <c r="F24" s="4">
        <v>0.5</v>
      </c>
      <c r="G24" s="4" t="s">
        <v>37</v>
      </c>
      <c r="H24" s="4">
        <v>0.5</v>
      </c>
    </row>
    <row r="25" spans="1:8" ht="38.25" x14ac:dyDescent="0.25">
      <c r="A25" s="65"/>
      <c r="B25" s="105"/>
      <c r="C25" s="1" t="s">
        <v>57</v>
      </c>
      <c r="D25" s="2" t="s">
        <v>58</v>
      </c>
      <c r="E25" s="3" t="s">
        <v>30</v>
      </c>
      <c r="F25" s="4">
        <v>0.5</v>
      </c>
      <c r="G25" s="4" t="s">
        <v>37</v>
      </c>
      <c r="H25" s="4">
        <v>0.5</v>
      </c>
    </row>
    <row r="26" spans="1:8" x14ac:dyDescent="0.25">
      <c r="A26" s="23" t="s">
        <v>59</v>
      </c>
      <c r="B26" s="35"/>
      <c r="C26" s="9"/>
      <c r="D26" s="11"/>
      <c r="E26" s="11"/>
      <c r="F26" s="25">
        <f>F24+F25</f>
        <v>1</v>
      </c>
      <c r="G26" s="25"/>
      <c r="H26" s="25">
        <f>SUM(H24:H25)</f>
        <v>1</v>
      </c>
    </row>
    <row r="27" spans="1:8" x14ac:dyDescent="0.25">
      <c r="A27" s="70" t="s">
        <v>60</v>
      </c>
      <c r="B27" s="71" t="s">
        <v>61</v>
      </c>
      <c r="C27" s="1" t="s">
        <v>13</v>
      </c>
      <c r="D27" s="2" t="s">
        <v>62</v>
      </c>
      <c r="E27" s="5" t="s">
        <v>63</v>
      </c>
      <c r="F27" s="4">
        <v>1</v>
      </c>
      <c r="G27" s="4" t="s">
        <v>12</v>
      </c>
      <c r="H27" s="6">
        <v>1</v>
      </c>
    </row>
    <row r="28" spans="1:8" x14ac:dyDescent="0.25">
      <c r="A28" s="70"/>
      <c r="B28" s="71"/>
      <c r="C28" s="1" t="s">
        <v>64</v>
      </c>
      <c r="D28" s="2" t="s">
        <v>65</v>
      </c>
      <c r="E28" s="36" t="s">
        <v>66</v>
      </c>
      <c r="F28" s="4">
        <v>1</v>
      </c>
      <c r="G28" s="4" t="s">
        <v>12</v>
      </c>
      <c r="H28" s="4">
        <v>1</v>
      </c>
    </row>
    <row r="29" spans="1:8" x14ac:dyDescent="0.25">
      <c r="A29" s="70"/>
      <c r="B29" s="71"/>
      <c r="C29" s="1" t="s">
        <v>39</v>
      </c>
      <c r="D29" s="2" t="s">
        <v>67</v>
      </c>
      <c r="E29" s="5" t="s">
        <v>68</v>
      </c>
      <c r="F29" s="4">
        <v>1</v>
      </c>
      <c r="G29" s="4" t="s">
        <v>12</v>
      </c>
      <c r="H29" s="6">
        <v>1</v>
      </c>
    </row>
    <row r="30" spans="1:8" x14ac:dyDescent="0.25">
      <c r="A30" s="70"/>
      <c r="B30" s="71"/>
      <c r="C30" s="1" t="s">
        <v>24</v>
      </c>
      <c r="D30" s="16" t="s">
        <v>69</v>
      </c>
      <c r="E30" s="5" t="s">
        <v>70</v>
      </c>
      <c r="F30" s="4">
        <v>1</v>
      </c>
      <c r="G30" s="4" t="s">
        <v>12</v>
      </c>
      <c r="H30" s="6">
        <v>1</v>
      </c>
    </row>
    <row r="31" spans="1:8" x14ac:dyDescent="0.25">
      <c r="A31" s="70"/>
      <c r="B31" s="71"/>
      <c r="C31" s="1" t="s">
        <v>24</v>
      </c>
      <c r="D31" s="16" t="s">
        <v>69</v>
      </c>
      <c r="E31" s="37" t="s">
        <v>71</v>
      </c>
      <c r="F31" s="4">
        <v>1</v>
      </c>
      <c r="G31" s="4" t="s">
        <v>12</v>
      </c>
      <c r="H31" s="6">
        <v>1</v>
      </c>
    </row>
    <row r="32" spans="1:8" x14ac:dyDescent="0.25">
      <c r="A32" s="70"/>
      <c r="B32" s="71"/>
      <c r="C32" s="1" t="s">
        <v>24</v>
      </c>
      <c r="D32" s="16" t="s">
        <v>69</v>
      </c>
      <c r="E32" s="36" t="s">
        <v>22</v>
      </c>
      <c r="F32" s="4">
        <v>1</v>
      </c>
      <c r="G32" s="4"/>
      <c r="H32" s="4">
        <v>1</v>
      </c>
    </row>
    <row r="33" spans="1:8" x14ac:dyDescent="0.25">
      <c r="A33" s="38"/>
      <c r="B33" s="35"/>
      <c r="C33" s="9"/>
      <c r="D33" s="11"/>
      <c r="E33" s="11"/>
      <c r="F33" s="25">
        <f>SUM(F27:F32)</f>
        <v>6</v>
      </c>
      <c r="G33" s="25"/>
      <c r="H33" s="25">
        <f>SUM(H27:H32)</f>
        <v>6</v>
      </c>
    </row>
    <row r="34" spans="1:8" x14ac:dyDescent="0.25">
      <c r="A34" s="107" t="s">
        <v>72</v>
      </c>
      <c r="B34" s="100" t="s">
        <v>73</v>
      </c>
      <c r="C34" s="1" t="s">
        <v>74</v>
      </c>
      <c r="D34" s="2" t="s">
        <v>75</v>
      </c>
      <c r="E34" s="5" t="s">
        <v>76</v>
      </c>
      <c r="F34" s="4">
        <v>1</v>
      </c>
      <c r="G34" s="4" t="s">
        <v>12</v>
      </c>
      <c r="H34" s="4">
        <v>1</v>
      </c>
    </row>
    <row r="35" spans="1:8" x14ac:dyDescent="0.25">
      <c r="A35" s="108"/>
      <c r="B35" s="109"/>
      <c r="C35" s="1" t="s">
        <v>24</v>
      </c>
      <c r="D35" s="2" t="s">
        <v>77</v>
      </c>
      <c r="E35" s="5" t="s">
        <v>22</v>
      </c>
      <c r="F35" s="4">
        <v>1</v>
      </c>
      <c r="G35" s="4"/>
      <c r="H35" s="4">
        <v>1</v>
      </c>
    </row>
    <row r="36" spans="1:8" x14ac:dyDescent="0.25">
      <c r="A36" s="38"/>
      <c r="B36" s="35"/>
      <c r="C36" s="9"/>
      <c r="D36" s="11"/>
      <c r="E36" s="11"/>
      <c r="F36" s="25">
        <f>F34+F35</f>
        <v>2</v>
      </c>
      <c r="G36" s="25"/>
      <c r="H36" s="25">
        <f>H34+H35</f>
        <v>2</v>
      </c>
    </row>
    <row r="37" spans="1:8" x14ac:dyDescent="0.25">
      <c r="A37" s="39" t="s">
        <v>78</v>
      </c>
      <c r="B37" s="40"/>
      <c r="C37" s="9"/>
      <c r="D37" s="11"/>
      <c r="E37" s="11"/>
      <c r="F37" s="25">
        <f>F33+F36</f>
        <v>8</v>
      </c>
      <c r="G37" s="25"/>
      <c r="H37" s="25">
        <f>H33+H36</f>
        <v>8</v>
      </c>
    </row>
    <row r="38" spans="1:8" x14ac:dyDescent="0.25">
      <c r="A38" s="67" t="s">
        <v>79</v>
      </c>
      <c r="B38" s="104" t="s">
        <v>80</v>
      </c>
      <c r="C38" s="1" t="s">
        <v>81</v>
      </c>
      <c r="D38" s="2" t="s">
        <v>82</v>
      </c>
      <c r="E38" s="5" t="s">
        <v>83</v>
      </c>
      <c r="F38" s="4">
        <v>1</v>
      </c>
      <c r="G38" s="4" t="s">
        <v>12</v>
      </c>
      <c r="H38" s="4">
        <v>1</v>
      </c>
    </row>
    <row r="39" spans="1:8" ht="25.5" x14ac:dyDescent="0.25">
      <c r="A39" s="68"/>
      <c r="B39" s="105"/>
      <c r="C39" s="1" t="s">
        <v>39</v>
      </c>
      <c r="D39" s="16" t="s">
        <v>84</v>
      </c>
      <c r="E39" s="41" t="s">
        <v>85</v>
      </c>
      <c r="F39" s="42">
        <v>1</v>
      </c>
      <c r="G39" s="4" t="s">
        <v>12</v>
      </c>
      <c r="H39" s="42">
        <v>1</v>
      </c>
    </row>
    <row r="40" spans="1:8" ht="25.5" x14ac:dyDescent="0.25">
      <c r="A40" s="103"/>
      <c r="B40" s="103"/>
      <c r="C40" s="32" t="s">
        <v>86</v>
      </c>
      <c r="D40" s="43" t="s">
        <v>87</v>
      </c>
      <c r="E40" s="3" t="s">
        <v>88</v>
      </c>
      <c r="F40" s="4">
        <v>1</v>
      </c>
      <c r="G40" s="4" t="s">
        <v>12</v>
      </c>
      <c r="H40" s="4">
        <v>1</v>
      </c>
    </row>
    <row r="41" spans="1:8" ht="25.5" x14ac:dyDescent="0.25">
      <c r="A41" s="103"/>
      <c r="B41" s="103"/>
      <c r="C41" s="32" t="s">
        <v>86</v>
      </c>
      <c r="D41" s="2" t="s">
        <v>89</v>
      </c>
      <c r="E41" s="3" t="s">
        <v>90</v>
      </c>
      <c r="F41" s="4">
        <v>1</v>
      </c>
      <c r="G41" s="4" t="s">
        <v>12</v>
      </c>
      <c r="H41" s="4">
        <v>1</v>
      </c>
    </row>
    <row r="42" spans="1:8" ht="38.25" x14ac:dyDescent="0.25">
      <c r="A42" s="94"/>
      <c r="B42" s="94"/>
      <c r="C42" s="32" t="s">
        <v>24</v>
      </c>
      <c r="D42" s="2" t="s">
        <v>91</v>
      </c>
      <c r="E42" s="3" t="s">
        <v>92</v>
      </c>
      <c r="F42" s="4">
        <v>0.5</v>
      </c>
      <c r="G42" s="4" t="s">
        <v>37</v>
      </c>
      <c r="H42" s="4">
        <v>0.5</v>
      </c>
    </row>
    <row r="43" spans="1:8" x14ac:dyDescent="0.25">
      <c r="A43" s="38"/>
      <c r="B43" s="35"/>
      <c r="C43" s="9"/>
      <c r="D43" s="11"/>
      <c r="E43" s="3"/>
      <c r="F43" s="25">
        <f>SUM(F38:F42)</f>
        <v>4.5</v>
      </c>
      <c r="G43" s="25"/>
      <c r="H43" s="25">
        <f>SUM(H38:H42)</f>
        <v>4.5</v>
      </c>
    </row>
    <row r="44" spans="1:8" x14ac:dyDescent="0.25">
      <c r="A44" s="106" t="s">
        <v>93</v>
      </c>
      <c r="B44" s="92" t="s">
        <v>94</v>
      </c>
      <c r="C44" s="15" t="s">
        <v>54</v>
      </c>
      <c r="D44" s="16" t="s">
        <v>75</v>
      </c>
      <c r="E44" s="41" t="s">
        <v>48</v>
      </c>
      <c r="F44" s="44">
        <v>1</v>
      </c>
      <c r="G44" s="4" t="s">
        <v>12</v>
      </c>
      <c r="H44" s="44">
        <v>1</v>
      </c>
    </row>
    <row r="45" spans="1:8" ht="25.5" x14ac:dyDescent="0.25">
      <c r="A45" s="106"/>
      <c r="B45" s="92"/>
      <c r="C45" s="15" t="s">
        <v>39</v>
      </c>
      <c r="D45" s="2" t="s">
        <v>40</v>
      </c>
      <c r="E45" s="3" t="s">
        <v>95</v>
      </c>
      <c r="F45" s="31">
        <v>1</v>
      </c>
      <c r="G45" s="4" t="s">
        <v>12</v>
      </c>
      <c r="H45" s="31">
        <v>1</v>
      </c>
    </row>
    <row r="46" spans="1:8" x14ac:dyDescent="0.25">
      <c r="A46" s="38"/>
      <c r="B46" s="35"/>
      <c r="C46" s="9"/>
      <c r="D46" s="11"/>
      <c r="E46" s="3"/>
      <c r="F46" s="25">
        <f>SUM(F44:F45)</f>
        <v>2</v>
      </c>
      <c r="G46" s="25"/>
      <c r="H46" s="25">
        <f>SUM(H44:H45)</f>
        <v>2</v>
      </c>
    </row>
    <row r="47" spans="1:8" x14ac:dyDescent="0.25">
      <c r="A47" s="39" t="s">
        <v>96</v>
      </c>
      <c r="B47" s="40"/>
      <c r="C47" s="9"/>
      <c r="D47" s="11"/>
      <c r="E47" s="41"/>
      <c r="F47" s="25">
        <f>F43+F46</f>
        <v>6.5</v>
      </c>
      <c r="G47" s="25"/>
      <c r="H47" s="25">
        <f>H43+H46</f>
        <v>6.5</v>
      </c>
    </row>
    <row r="48" spans="1:8" x14ac:dyDescent="0.25">
      <c r="A48" s="64" t="s">
        <v>97</v>
      </c>
      <c r="B48" s="104" t="s">
        <v>98</v>
      </c>
      <c r="C48" s="1" t="s">
        <v>54</v>
      </c>
      <c r="D48" s="2" t="s">
        <v>75</v>
      </c>
      <c r="E48" s="45" t="s">
        <v>99</v>
      </c>
      <c r="F48" s="4">
        <v>1</v>
      </c>
      <c r="G48" s="4" t="s">
        <v>12</v>
      </c>
      <c r="H48" s="4">
        <v>1</v>
      </c>
    </row>
    <row r="49" spans="1:8" x14ac:dyDescent="0.25">
      <c r="A49" s="69"/>
      <c r="B49" s="102"/>
      <c r="C49" s="1" t="s">
        <v>39</v>
      </c>
      <c r="D49" s="2" t="s">
        <v>100</v>
      </c>
      <c r="E49" s="3" t="s">
        <v>101</v>
      </c>
      <c r="F49" s="4">
        <v>1</v>
      </c>
      <c r="G49" s="4" t="s">
        <v>12</v>
      </c>
      <c r="H49" s="4">
        <v>1</v>
      </c>
    </row>
    <row r="50" spans="1:8" x14ac:dyDescent="0.25">
      <c r="A50" s="46" t="s">
        <v>102</v>
      </c>
      <c r="B50" s="35"/>
      <c r="C50" s="9"/>
      <c r="D50" s="11"/>
      <c r="E50" s="3"/>
      <c r="F50" s="25">
        <f>SUM(F48:F49)</f>
        <v>2</v>
      </c>
      <c r="G50" s="25"/>
      <c r="H50" s="25">
        <f>SUM(H48:H49)</f>
        <v>2</v>
      </c>
    </row>
    <row r="51" spans="1:8" x14ac:dyDescent="0.25">
      <c r="A51" s="97" t="s">
        <v>103</v>
      </c>
      <c r="B51" s="89" t="s">
        <v>104</v>
      </c>
      <c r="C51" s="15" t="s">
        <v>105</v>
      </c>
      <c r="D51" s="47" t="s">
        <v>75</v>
      </c>
      <c r="E51" s="3" t="s">
        <v>106</v>
      </c>
      <c r="F51" s="17">
        <v>1</v>
      </c>
      <c r="G51" s="17" t="s">
        <v>12</v>
      </c>
      <c r="H51" s="17">
        <v>1</v>
      </c>
    </row>
    <row r="52" spans="1:8" x14ac:dyDescent="0.25">
      <c r="A52" s="98"/>
      <c r="B52" s="90"/>
      <c r="C52" s="15" t="s">
        <v>24</v>
      </c>
      <c r="D52" s="2" t="s">
        <v>107</v>
      </c>
      <c r="E52" s="3" t="s">
        <v>108</v>
      </c>
      <c r="F52" s="17">
        <v>1</v>
      </c>
      <c r="G52" s="17" t="s">
        <v>12</v>
      </c>
      <c r="H52" s="17">
        <v>1</v>
      </c>
    </row>
    <row r="53" spans="1:8" x14ac:dyDescent="0.25">
      <c r="A53" s="98"/>
      <c r="B53" s="90"/>
      <c r="C53" s="15" t="s">
        <v>24</v>
      </c>
      <c r="D53" s="16" t="s">
        <v>109</v>
      </c>
      <c r="E53" s="3" t="s">
        <v>110</v>
      </c>
      <c r="F53" s="17">
        <v>0.25</v>
      </c>
      <c r="G53" s="17" t="s">
        <v>46</v>
      </c>
      <c r="H53" s="17">
        <v>0.25</v>
      </c>
    </row>
    <row r="54" spans="1:8" ht="25.5" x14ac:dyDescent="0.25">
      <c r="A54" s="99"/>
      <c r="B54" s="91"/>
      <c r="C54" s="15" t="s">
        <v>24</v>
      </c>
      <c r="D54" s="16" t="s">
        <v>109</v>
      </c>
      <c r="E54" s="3" t="s">
        <v>111</v>
      </c>
      <c r="F54" s="17">
        <v>1</v>
      </c>
      <c r="G54" s="17" t="s">
        <v>12</v>
      </c>
      <c r="H54" s="17">
        <v>1</v>
      </c>
    </row>
    <row r="55" spans="1:8" x14ac:dyDescent="0.25">
      <c r="A55" s="46" t="s">
        <v>112</v>
      </c>
      <c r="B55" s="35"/>
      <c r="C55" s="9"/>
      <c r="D55" s="11"/>
      <c r="E55" s="3"/>
      <c r="F55" s="25">
        <f>SUM(F51:F54)</f>
        <v>3.25</v>
      </c>
      <c r="G55" s="25"/>
      <c r="H55" s="25">
        <f>SUM(H51:H54)</f>
        <v>3.25</v>
      </c>
    </row>
    <row r="56" spans="1:8" x14ac:dyDescent="0.25">
      <c r="A56" s="67">
        <v>8</v>
      </c>
      <c r="B56" s="100" t="s">
        <v>113</v>
      </c>
      <c r="C56" s="1" t="s">
        <v>81</v>
      </c>
      <c r="D56" s="2" t="s">
        <v>114</v>
      </c>
      <c r="E56" s="3" t="s">
        <v>115</v>
      </c>
      <c r="F56" s="4">
        <v>1</v>
      </c>
      <c r="G56" s="4" t="s">
        <v>12</v>
      </c>
      <c r="H56" s="4">
        <v>1</v>
      </c>
    </row>
    <row r="57" spans="1:8" ht="25.5" x14ac:dyDescent="0.25">
      <c r="A57" s="68"/>
      <c r="B57" s="101"/>
      <c r="C57" s="1" t="s">
        <v>24</v>
      </c>
      <c r="D57" s="2" t="s">
        <v>116</v>
      </c>
      <c r="E57" s="5" t="s">
        <v>117</v>
      </c>
      <c r="F57" s="4">
        <v>1</v>
      </c>
      <c r="G57" s="4" t="s">
        <v>12</v>
      </c>
      <c r="H57" s="4">
        <v>1</v>
      </c>
    </row>
    <row r="58" spans="1:8" x14ac:dyDescent="0.25">
      <c r="A58" s="48" t="s">
        <v>118</v>
      </c>
      <c r="B58" s="35"/>
      <c r="C58" s="9"/>
      <c r="D58" s="11"/>
      <c r="E58" s="11"/>
      <c r="F58" s="25">
        <f>SUM(F56:F57)</f>
        <v>2</v>
      </c>
      <c r="G58" s="25"/>
      <c r="H58" s="25">
        <f>SUM(H56:H57)</f>
        <v>2</v>
      </c>
    </row>
    <row r="59" spans="1:8" ht="38.25" x14ac:dyDescent="0.25">
      <c r="A59" s="49" t="s">
        <v>119</v>
      </c>
      <c r="B59" s="35" t="s">
        <v>120</v>
      </c>
      <c r="C59" s="9" t="s">
        <v>16</v>
      </c>
      <c r="D59" s="11" t="s">
        <v>121</v>
      </c>
      <c r="E59" s="3" t="s">
        <v>122</v>
      </c>
      <c r="F59" s="50">
        <v>1</v>
      </c>
      <c r="G59" s="50" t="s">
        <v>12</v>
      </c>
      <c r="H59" s="50">
        <v>1</v>
      </c>
    </row>
    <row r="60" spans="1:8" ht="25.5" x14ac:dyDescent="0.25">
      <c r="A60" s="51" t="s">
        <v>123</v>
      </c>
      <c r="B60" s="52" t="s">
        <v>124</v>
      </c>
      <c r="C60" s="1"/>
      <c r="D60" s="2"/>
      <c r="E60" s="3"/>
      <c r="F60" s="2"/>
      <c r="G60" s="2"/>
      <c r="H60" s="2"/>
    </row>
    <row r="61" spans="1:8" x14ac:dyDescent="0.25">
      <c r="A61" s="72" t="s">
        <v>125</v>
      </c>
      <c r="B61" s="74" t="s">
        <v>126</v>
      </c>
      <c r="C61" s="1" t="s">
        <v>127</v>
      </c>
      <c r="D61" s="33" t="s">
        <v>128</v>
      </c>
      <c r="E61" s="53" t="s">
        <v>129</v>
      </c>
      <c r="F61" s="34">
        <v>1</v>
      </c>
      <c r="G61" s="34" t="s">
        <v>12</v>
      </c>
      <c r="H61" s="34">
        <v>1</v>
      </c>
    </row>
    <row r="62" spans="1:8" x14ac:dyDescent="0.25">
      <c r="A62" s="73"/>
      <c r="B62" s="75"/>
      <c r="C62" s="1" t="s">
        <v>130</v>
      </c>
      <c r="D62" s="16" t="s">
        <v>131</v>
      </c>
      <c r="E62" s="3" t="s">
        <v>22</v>
      </c>
      <c r="F62" s="17">
        <v>1</v>
      </c>
      <c r="G62" s="34"/>
      <c r="H62" s="17">
        <v>1</v>
      </c>
    </row>
    <row r="63" spans="1:8" x14ac:dyDescent="0.25">
      <c r="A63" s="73"/>
      <c r="B63" s="75"/>
      <c r="C63" s="1" t="s">
        <v>132</v>
      </c>
      <c r="D63" s="16" t="s">
        <v>133</v>
      </c>
      <c r="E63" s="54" t="s">
        <v>134</v>
      </c>
      <c r="F63" s="34">
        <v>0.5</v>
      </c>
      <c r="G63" s="34" t="s">
        <v>46</v>
      </c>
      <c r="H63" s="34">
        <v>0.5</v>
      </c>
    </row>
    <row r="64" spans="1:8" x14ac:dyDescent="0.25">
      <c r="A64" s="73"/>
      <c r="B64" s="75"/>
      <c r="C64" s="1" t="s">
        <v>132</v>
      </c>
      <c r="D64" s="16" t="s">
        <v>135</v>
      </c>
      <c r="E64" s="3" t="s">
        <v>136</v>
      </c>
      <c r="F64" s="17">
        <v>1</v>
      </c>
      <c r="G64" s="17" t="s">
        <v>12</v>
      </c>
      <c r="H64" s="17">
        <v>1</v>
      </c>
    </row>
    <row r="65" spans="1:8" ht="25.5" x14ac:dyDescent="0.25">
      <c r="A65" s="88"/>
      <c r="B65" s="102"/>
      <c r="C65" s="1" t="s">
        <v>132</v>
      </c>
      <c r="D65" s="16" t="s">
        <v>135</v>
      </c>
      <c r="E65" s="3" t="s">
        <v>137</v>
      </c>
      <c r="F65" s="17">
        <v>1</v>
      </c>
      <c r="G65" s="55" t="s">
        <v>12</v>
      </c>
      <c r="H65" s="17">
        <v>1</v>
      </c>
    </row>
    <row r="66" spans="1:8" x14ac:dyDescent="0.25">
      <c r="A66" s="72" t="s">
        <v>138</v>
      </c>
      <c r="B66" s="80" t="s">
        <v>139</v>
      </c>
      <c r="C66" s="1" t="s">
        <v>130</v>
      </c>
      <c r="D66" s="2" t="s">
        <v>131</v>
      </c>
      <c r="E66" s="3" t="s">
        <v>140</v>
      </c>
      <c r="F66" s="17">
        <v>1</v>
      </c>
      <c r="G66" s="34" t="s">
        <v>12</v>
      </c>
      <c r="H66" s="17">
        <v>1</v>
      </c>
    </row>
    <row r="67" spans="1:8" x14ac:dyDescent="0.25">
      <c r="A67" s="88"/>
      <c r="B67" s="82"/>
      <c r="C67" s="1" t="s">
        <v>132</v>
      </c>
      <c r="D67" s="16" t="s">
        <v>135</v>
      </c>
      <c r="E67" s="3" t="s">
        <v>141</v>
      </c>
      <c r="F67" s="34">
        <v>1</v>
      </c>
      <c r="G67" s="34" t="s">
        <v>12</v>
      </c>
      <c r="H67" s="17">
        <v>1</v>
      </c>
    </row>
    <row r="68" spans="1:8" ht="25.5" x14ac:dyDescent="0.25">
      <c r="A68" s="72" t="s">
        <v>142</v>
      </c>
      <c r="B68" s="80" t="s">
        <v>143</v>
      </c>
      <c r="C68" s="1" t="s">
        <v>130</v>
      </c>
      <c r="D68" s="2" t="s">
        <v>144</v>
      </c>
      <c r="E68" s="3" t="s">
        <v>140</v>
      </c>
      <c r="F68" s="4">
        <v>0.5</v>
      </c>
      <c r="G68" s="42" t="s">
        <v>46</v>
      </c>
      <c r="H68" s="4">
        <v>0.5</v>
      </c>
    </row>
    <row r="69" spans="1:8" x14ac:dyDescent="0.25">
      <c r="A69" s="88"/>
      <c r="B69" s="82"/>
      <c r="C69" s="1" t="s">
        <v>132</v>
      </c>
      <c r="D69" s="2" t="s">
        <v>135</v>
      </c>
      <c r="E69" s="3" t="s">
        <v>136</v>
      </c>
      <c r="F69" s="4">
        <v>0.5</v>
      </c>
      <c r="G69" s="42" t="s">
        <v>46</v>
      </c>
      <c r="H69" s="4">
        <v>0.5</v>
      </c>
    </row>
    <row r="70" spans="1:8" x14ac:dyDescent="0.25">
      <c r="A70" s="7"/>
      <c r="B70" s="35"/>
      <c r="C70" s="9"/>
      <c r="D70" s="24"/>
      <c r="E70" s="56"/>
      <c r="F70" s="25">
        <f>SUM(F61:F69)</f>
        <v>7.5</v>
      </c>
      <c r="G70" s="25"/>
      <c r="H70" s="25">
        <f>SUM(H61:H69)</f>
        <v>7.5</v>
      </c>
    </row>
    <row r="71" spans="1:8" ht="25.5" x14ac:dyDescent="0.25">
      <c r="A71" s="51" t="s">
        <v>145</v>
      </c>
      <c r="B71" s="52" t="s">
        <v>146</v>
      </c>
      <c r="C71" s="1" t="s">
        <v>147</v>
      </c>
      <c r="D71" s="2" t="s">
        <v>148</v>
      </c>
      <c r="E71" s="3" t="s">
        <v>149</v>
      </c>
      <c r="F71" s="17">
        <v>1</v>
      </c>
      <c r="G71" s="34" t="s">
        <v>12</v>
      </c>
      <c r="H71" s="17">
        <v>1</v>
      </c>
    </row>
    <row r="72" spans="1:8" ht="25.5" x14ac:dyDescent="0.25">
      <c r="A72" s="76" t="s">
        <v>150</v>
      </c>
      <c r="B72" s="83" t="s">
        <v>151</v>
      </c>
      <c r="C72" s="1" t="s">
        <v>130</v>
      </c>
      <c r="D72" s="2" t="s">
        <v>131</v>
      </c>
      <c r="E72" s="3" t="s">
        <v>152</v>
      </c>
      <c r="F72" s="17">
        <v>1</v>
      </c>
      <c r="G72" s="34" t="s">
        <v>12</v>
      </c>
      <c r="H72" s="17">
        <v>1</v>
      </c>
    </row>
    <row r="73" spans="1:8" x14ac:dyDescent="0.25">
      <c r="A73" s="78"/>
      <c r="B73" s="84"/>
      <c r="C73" s="57" t="s">
        <v>132</v>
      </c>
      <c r="D73" s="16" t="s">
        <v>135</v>
      </c>
      <c r="E73" s="3" t="s">
        <v>153</v>
      </c>
      <c r="F73" s="34">
        <v>1</v>
      </c>
      <c r="G73" s="34" t="s">
        <v>12</v>
      </c>
      <c r="H73" s="17">
        <v>1</v>
      </c>
    </row>
    <row r="74" spans="1:8" x14ac:dyDescent="0.25">
      <c r="A74" s="76" t="s">
        <v>154</v>
      </c>
      <c r="B74" s="85" t="s">
        <v>155</v>
      </c>
      <c r="C74" s="1" t="s">
        <v>127</v>
      </c>
      <c r="D74" s="2" t="s">
        <v>128</v>
      </c>
      <c r="E74" s="3" t="s">
        <v>156</v>
      </c>
      <c r="F74" s="17">
        <v>1</v>
      </c>
      <c r="G74" s="34" t="s">
        <v>12</v>
      </c>
      <c r="H74" s="17">
        <v>1</v>
      </c>
    </row>
    <row r="75" spans="1:8" x14ac:dyDescent="0.25">
      <c r="A75" s="78"/>
      <c r="B75" s="86"/>
      <c r="C75" s="57" t="s">
        <v>132</v>
      </c>
      <c r="D75" s="16" t="s">
        <v>135</v>
      </c>
      <c r="E75" s="3" t="s">
        <v>157</v>
      </c>
      <c r="F75" s="17">
        <v>1</v>
      </c>
      <c r="G75" s="17" t="s">
        <v>12</v>
      </c>
      <c r="H75" s="17">
        <v>1</v>
      </c>
    </row>
    <row r="76" spans="1:8" x14ac:dyDescent="0.25">
      <c r="A76" s="78"/>
      <c r="B76" s="86"/>
      <c r="C76" s="57" t="s">
        <v>132</v>
      </c>
      <c r="D76" s="16" t="s">
        <v>135</v>
      </c>
      <c r="E76" s="3" t="s">
        <v>158</v>
      </c>
      <c r="F76" s="17">
        <v>0.5</v>
      </c>
      <c r="G76" s="17" t="s">
        <v>12</v>
      </c>
      <c r="H76" s="17">
        <v>0.5</v>
      </c>
    </row>
    <row r="77" spans="1:8" x14ac:dyDescent="0.25">
      <c r="A77" s="78"/>
      <c r="B77" s="86"/>
      <c r="C77" s="57" t="s">
        <v>132</v>
      </c>
      <c r="D77" s="16" t="s">
        <v>135</v>
      </c>
      <c r="E77" s="2" t="s">
        <v>22</v>
      </c>
      <c r="F77" s="17">
        <v>0.5</v>
      </c>
      <c r="G77" s="34"/>
      <c r="H77" s="17">
        <v>0.5</v>
      </c>
    </row>
    <row r="78" spans="1:8" x14ac:dyDescent="0.25">
      <c r="A78" s="93"/>
      <c r="B78" s="94"/>
      <c r="C78" s="32" t="s">
        <v>123</v>
      </c>
      <c r="D78" s="2" t="s">
        <v>159</v>
      </c>
      <c r="E78" s="5" t="s">
        <v>160</v>
      </c>
      <c r="F78" s="17">
        <v>1</v>
      </c>
      <c r="G78" s="42" t="s">
        <v>12</v>
      </c>
      <c r="H78" s="4">
        <v>1</v>
      </c>
    </row>
    <row r="79" spans="1:8" x14ac:dyDescent="0.25">
      <c r="A79" s="7"/>
      <c r="B79" s="35"/>
      <c r="C79" s="9"/>
      <c r="D79" s="24"/>
      <c r="E79" s="24"/>
      <c r="F79" s="25">
        <f>SUM(F71:F78)</f>
        <v>7</v>
      </c>
      <c r="G79" s="25"/>
      <c r="H79" s="25">
        <f>SUM(H71:H78)</f>
        <v>7</v>
      </c>
    </row>
    <row r="80" spans="1:8" ht="25.5" x14ac:dyDescent="0.25">
      <c r="A80" s="51" t="s">
        <v>161</v>
      </c>
      <c r="B80" s="52" t="s">
        <v>162</v>
      </c>
      <c r="C80" s="1" t="s">
        <v>147</v>
      </c>
      <c r="D80" s="2" t="s">
        <v>148</v>
      </c>
      <c r="E80" s="2" t="s">
        <v>22</v>
      </c>
      <c r="F80" s="17">
        <v>0.5</v>
      </c>
      <c r="G80" s="34"/>
      <c r="H80" s="17">
        <v>0.5</v>
      </c>
    </row>
    <row r="81" spans="1:8" ht="25.5" x14ac:dyDescent="0.25">
      <c r="A81" s="79" t="s">
        <v>163</v>
      </c>
      <c r="B81" s="87" t="s">
        <v>164</v>
      </c>
      <c r="C81" s="95" t="s">
        <v>147</v>
      </c>
      <c r="D81" s="16" t="s">
        <v>165</v>
      </c>
      <c r="E81" s="26" t="s">
        <v>166</v>
      </c>
      <c r="F81" s="17">
        <v>0.5</v>
      </c>
      <c r="G81" s="17"/>
      <c r="H81" s="17">
        <v>0.5</v>
      </c>
    </row>
    <row r="82" spans="1:8" x14ac:dyDescent="0.25">
      <c r="A82" s="79"/>
      <c r="B82" s="87"/>
      <c r="C82" s="96"/>
      <c r="D82" s="16" t="s">
        <v>167</v>
      </c>
      <c r="E82" s="3" t="s">
        <v>168</v>
      </c>
      <c r="F82" s="17">
        <v>1</v>
      </c>
      <c r="G82" s="55" t="s">
        <v>12</v>
      </c>
      <c r="H82" s="17">
        <v>1</v>
      </c>
    </row>
    <row r="83" spans="1:8" x14ac:dyDescent="0.25">
      <c r="A83" s="79"/>
      <c r="B83" s="87"/>
      <c r="C83" s="57" t="s">
        <v>127</v>
      </c>
      <c r="D83" s="16" t="s">
        <v>128</v>
      </c>
      <c r="E83" s="3" t="s">
        <v>169</v>
      </c>
      <c r="F83" s="17">
        <v>1</v>
      </c>
      <c r="G83" s="17" t="s">
        <v>12</v>
      </c>
      <c r="H83" s="17">
        <v>1</v>
      </c>
    </row>
    <row r="84" spans="1:8" ht="25.5" x14ac:dyDescent="0.25">
      <c r="A84" s="79"/>
      <c r="B84" s="87"/>
      <c r="C84" s="57" t="s">
        <v>127</v>
      </c>
      <c r="D84" s="16" t="s">
        <v>128</v>
      </c>
      <c r="E84" s="3" t="s">
        <v>170</v>
      </c>
      <c r="F84" s="17">
        <v>1</v>
      </c>
      <c r="G84" s="55" t="s">
        <v>12</v>
      </c>
      <c r="H84" s="17">
        <v>1</v>
      </c>
    </row>
    <row r="85" spans="1:8" x14ac:dyDescent="0.25">
      <c r="A85" s="79"/>
      <c r="B85" s="87"/>
      <c r="C85" s="1" t="s">
        <v>130</v>
      </c>
      <c r="D85" s="2" t="s">
        <v>131</v>
      </c>
      <c r="E85" s="3" t="s">
        <v>171</v>
      </c>
      <c r="F85" s="17">
        <v>1</v>
      </c>
      <c r="G85" s="34" t="s">
        <v>12</v>
      </c>
      <c r="H85" s="17">
        <v>1</v>
      </c>
    </row>
    <row r="86" spans="1:8" ht="25.5" x14ac:dyDescent="0.25">
      <c r="A86" s="79"/>
      <c r="B86" s="87"/>
      <c r="C86" s="57" t="s">
        <v>132</v>
      </c>
      <c r="D86" s="16" t="s">
        <v>135</v>
      </c>
      <c r="E86" s="3" t="s">
        <v>172</v>
      </c>
      <c r="F86" s="34">
        <v>1</v>
      </c>
      <c r="G86" s="34" t="s">
        <v>12</v>
      </c>
      <c r="H86" s="34">
        <v>1</v>
      </c>
    </row>
    <row r="87" spans="1:8" x14ac:dyDescent="0.25">
      <c r="A87" s="79"/>
      <c r="B87" s="87"/>
      <c r="C87" s="57" t="s">
        <v>132</v>
      </c>
      <c r="D87" s="16" t="s">
        <v>135</v>
      </c>
      <c r="E87" s="53" t="s">
        <v>173</v>
      </c>
      <c r="F87" s="34">
        <v>1</v>
      </c>
      <c r="G87" s="58" t="s">
        <v>12</v>
      </c>
      <c r="H87" s="34">
        <v>1</v>
      </c>
    </row>
    <row r="88" spans="1:8" ht="25.5" x14ac:dyDescent="0.25">
      <c r="A88" s="73" t="s">
        <v>174</v>
      </c>
      <c r="B88" s="80" t="s">
        <v>175</v>
      </c>
      <c r="C88" s="1" t="s">
        <v>127</v>
      </c>
      <c r="D88" s="2" t="s">
        <v>176</v>
      </c>
      <c r="E88" s="3" t="s">
        <v>177</v>
      </c>
      <c r="F88" s="4">
        <v>1</v>
      </c>
      <c r="G88" s="42" t="s">
        <v>12</v>
      </c>
      <c r="H88" s="4">
        <v>1</v>
      </c>
    </row>
    <row r="89" spans="1:8" x14ac:dyDescent="0.25">
      <c r="A89" s="73"/>
      <c r="B89" s="81"/>
      <c r="C89" s="1" t="s">
        <v>130</v>
      </c>
      <c r="D89" s="2" t="s">
        <v>131</v>
      </c>
      <c r="E89" s="3" t="s">
        <v>178</v>
      </c>
      <c r="F89" s="4">
        <v>1</v>
      </c>
      <c r="G89" s="42" t="s">
        <v>12</v>
      </c>
      <c r="H89" s="17">
        <v>1</v>
      </c>
    </row>
    <row r="90" spans="1:8" x14ac:dyDescent="0.25">
      <c r="A90" s="73"/>
      <c r="B90" s="82"/>
      <c r="C90" s="1" t="s">
        <v>132</v>
      </c>
      <c r="D90" s="33" t="s">
        <v>135</v>
      </c>
      <c r="E90" s="3" t="s">
        <v>179</v>
      </c>
      <c r="F90" s="42">
        <v>1</v>
      </c>
      <c r="G90" s="42" t="s">
        <v>12</v>
      </c>
      <c r="H90" s="17">
        <v>1</v>
      </c>
    </row>
    <row r="91" spans="1:8" x14ac:dyDescent="0.25">
      <c r="A91" s="7"/>
      <c r="B91" s="35"/>
      <c r="C91" s="9"/>
      <c r="D91" s="24"/>
      <c r="E91" s="56"/>
      <c r="F91" s="25">
        <f>SUM(F80:F90)</f>
        <v>10</v>
      </c>
      <c r="G91" s="25"/>
      <c r="H91" s="25">
        <f>SUM(H80:H90)</f>
        <v>10</v>
      </c>
    </row>
    <row r="92" spans="1:8" ht="25.5" x14ac:dyDescent="0.25">
      <c r="A92" s="51" t="s">
        <v>180</v>
      </c>
      <c r="B92" s="59" t="s">
        <v>181</v>
      </c>
      <c r="C92" s="1" t="s">
        <v>147</v>
      </c>
      <c r="D92" s="2" t="s">
        <v>148</v>
      </c>
      <c r="E92" s="3" t="s">
        <v>182</v>
      </c>
      <c r="F92" s="4">
        <v>1</v>
      </c>
      <c r="G92" s="42" t="s">
        <v>12</v>
      </c>
      <c r="H92" s="4">
        <v>1</v>
      </c>
    </row>
    <row r="93" spans="1:8" ht="25.5" x14ac:dyDescent="0.25">
      <c r="A93" s="79" t="s">
        <v>183</v>
      </c>
      <c r="B93" s="87" t="s">
        <v>184</v>
      </c>
      <c r="C93" s="1" t="s">
        <v>185</v>
      </c>
      <c r="D93" s="2" t="s">
        <v>186</v>
      </c>
      <c r="E93" s="3" t="s">
        <v>187</v>
      </c>
      <c r="F93" s="4">
        <v>1</v>
      </c>
      <c r="G93" s="42" t="s">
        <v>12</v>
      </c>
      <c r="H93" s="4">
        <v>1</v>
      </c>
    </row>
    <row r="94" spans="1:8" ht="38.25" x14ac:dyDescent="0.25">
      <c r="A94" s="79"/>
      <c r="B94" s="87"/>
      <c r="C94" s="1" t="s">
        <v>147</v>
      </c>
      <c r="D94" s="2" t="s">
        <v>167</v>
      </c>
      <c r="E94" s="3" t="s">
        <v>22</v>
      </c>
      <c r="F94" s="4">
        <v>0.5</v>
      </c>
      <c r="G94" s="4" t="s">
        <v>188</v>
      </c>
      <c r="H94" s="4">
        <v>0.5</v>
      </c>
    </row>
    <row r="95" spans="1:8" ht="38.25" x14ac:dyDescent="0.25">
      <c r="A95" s="79" t="s">
        <v>189</v>
      </c>
      <c r="B95" s="87" t="s">
        <v>190</v>
      </c>
      <c r="C95" s="57" t="s">
        <v>185</v>
      </c>
      <c r="D95" s="16" t="s">
        <v>186</v>
      </c>
      <c r="E95" s="3" t="s">
        <v>191</v>
      </c>
      <c r="F95" s="17">
        <v>0.5</v>
      </c>
      <c r="G95" s="4" t="s">
        <v>188</v>
      </c>
      <c r="H95" s="17">
        <v>0.5</v>
      </c>
    </row>
    <row r="96" spans="1:8" ht="25.5" x14ac:dyDescent="0.25">
      <c r="A96" s="79"/>
      <c r="B96" s="87"/>
      <c r="C96" s="57" t="s">
        <v>185</v>
      </c>
      <c r="D96" s="16" t="s">
        <v>186</v>
      </c>
      <c r="E96" s="3" t="s">
        <v>22</v>
      </c>
      <c r="F96" s="17">
        <v>0.5</v>
      </c>
      <c r="G96" s="60"/>
      <c r="H96" s="17">
        <v>0.5</v>
      </c>
    </row>
    <row r="97" spans="1:8" x14ac:dyDescent="0.25">
      <c r="A97" s="79"/>
      <c r="B97" s="87"/>
      <c r="C97" s="1" t="s">
        <v>127</v>
      </c>
      <c r="D97" s="2" t="s">
        <v>128</v>
      </c>
      <c r="E97" s="3" t="s">
        <v>192</v>
      </c>
      <c r="F97" s="4">
        <v>0.5</v>
      </c>
      <c r="G97" s="42" t="s">
        <v>46</v>
      </c>
      <c r="H97" s="17">
        <v>0.5</v>
      </c>
    </row>
    <row r="98" spans="1:8" x14ac:dyDescent="0.25">
      <c r="A98" s="79"/>
      <c r="B98" s="87"/>
      <c r="C98" s="1" t="s">
        <v>193</v>
      </c>
      <c r="D98" s="2" t="s">
        <v>194</v>
      </c>
      <c r="E98" s="3" t="s">
        <v>195</v>
      </c>
      <c r="F98" s="4">
        <v>1</v>
      </c>
      <c r="G98" s="42" t="s">
        <v>12</v>
      </c>
      <c r="H98" s="4">
        <v>1</v>
      </c>
    </row>
    <row r="99" spans="1:8" x14ac:dyDescent="0.25">
      <c r="A99" s="79"/>
      <c r="B99" s="87"/>
      <c r="C99" s="1" t="s">
        <v>132</v>
      </c>
      <c r="D99" s="2" t="s">
        <v>135</v>
      </c>
      <c r="E99" s="5" t="s">
        <v>196</v>
      </c>
      <c r="F99" s="4">
        <v>1</v>
      </c>
      <c r="G99" s="42" t="s">
        <v>12</v>
      </c>
      <c r="H99" s="4">
        <v>1</v>
      </c>
    </row>
    <row r="100" spans="1:8" x14ac:dyDescent="0.25">
      <c r="A100" s="79" t="s">
        <v>197</v>
      </c>
      <c r="B100" s="87" t="s">
        <v>198</v>
      </c>
      <c r="C100" s="57" t="s">
        <v>185</v>
      </c>
      <c r="D100" s="16" t="s">
        <v>199</v>
      </c>
      <c r="E100" s="3" t="s">
        <v>200</v>
      </c>
      <c r="F100" s="4">
        <v>0.5</v>
      </c>
      <c r="G100" s="42" t="s">
        <v>12</v>
      </c>
      <c r="H100" s="4">
        <v>0.5</v>
      </c>
    </row>
    <row r="101" spans="1:8" x14ac:dyDescent="0.25">
      <c r="A101" s="79"/>
      <c r="B101" s="87"/>
      <c r="C101" s="1" t="s">
        <v>185</v>
      </c>
      <c r="D101" s="2" t="s">
        <v>199</v>
      </c>
      <c r="E101" s="3" t="s">
        <v>22</v>
      </c>
      <c r="F101" s="4">
        <v>0.5</v>
      </c>
      <c r="G101" s="4"/>
      <c r="H101" s="4">
        <v>0.5</v>
      </c>
    </row>
    <row r="102" spans="1:8" ht="25.5" x14ac:dyDescent="0.25">
      <c r="A102" s="79" t="s">
        <v>201</v>
      </c>
      <c r="B102" s="87" t="s">
        <v>202</v>
      </c>
      <c r="C102" s="1" t="s">
        <v>185</v>
      </c>
      <c r="D102" s="2" t="s">
        <v>203</v>
      </c>
      <c r="E102" s="3" t="s">
        <v>204</v>
      </c>
      <c r="F102" s="4">
        <v>1</v>
      </c>
      <c r="G102" s="42" t="s">
        <v>12</v>
      </c>
      <c r="H102" s="4">
        <v>1</v>
      </c>
    </row>
    <row r="103" spans="1:8" x14ac:dyDescent="0.25">
      <c r="A103" s="79"/>
      <c r="B103" s="87"/>
      <c r="C103" s="1" t="s">
        <v>127</v>
      </c>
      <c r="D103" s="2" t="s">
        <v>128</v>
      </c>
      <c r="E103" s="3" t="s">
        <v>205</v>
      </c>
      <c r="F103" s="4">
        <v>1</v>
      </c>
      <c r="G103" s="42" t="s">
        <v>12</v>
      </c>
      <c r="H103" s="4">
        <v>1</v>
      </c>
    </row>
    <row r="104" spans="1:8" x14ac:dyDescent="0.25">
      <c r="A104" s="79"/>
      <c r="B104" s="87"/>
      <c r="C104" s="57" t="s">
        <v>132</v>
      </c>
      <c r="D104" s="2" t="s">
        <v>206</v>
      </c>
      <c r="E104" s="2" t="s">
        <v>207</v>
      </c>
      <c r="F104" s="17">
        <v>1</v>
      </c>
      <c r="G104" s="4" t="s">
        <v>12</v>
      </c>
      <c r="H104" s="17">
        <v>1</v>
      </c>
    </row>
    <row r="105" spans="1:8" x14ac:dyDescent="0.25">
      <c r="A105" s="79"/>
      <c r="B105" s="87"/>
      <c r="C105" s="57" t="s">
        <v>132</v>
      </c>
      <c r="D105" s="2" t="s">
        <v>206</v>
      </c>
      <c r="E105" s="5" t="s">
        <v>208</v>
      </c>
      <c r="F105" s="4">
        <v>1</v>
      </c>
      <c r="G105" s="4" t="s">
        <v>12</v>
      </c>
      <c r="H105" s="4">
        <v>1</v>
      </c>
    </row>
    <row r="106" spans="1:8" x14ac:dyDescent="0.25">
      <c r="A106" s="79"/>
      <c r="B106" s="87"/>
      <c r="C106" s="1" t="s">
        <v>123</v>
      </c>
      <c r="D106" s="2" t="s">
        <v>209</v>
      </c>
      <c r="E106" s="5" t="s">
        <v>210</v>
      </c>
      <c r="F106" s="4">
        <v>0.5</v>
      </c>
      <c r="G106" s="42" t="s">
        <v>46</v>
      </c>
      <c r="H106" s="4">
        <v>0.5</v>
      </c>
    </row>
    <row r="107" spans="1:8" x14ac:dyDescent="0.25">
      <c r="A107" s="79"/>
      <c r="B107" s="87"/>
      <c r="C107" s="1" t="s">
        <v>132</v>
      </c>
      <c r="D107" s="2" t="s">
        <v>211</v>
      </c>
      <c r="E107" s="5" t="s">
        <v>22</v>
      </c>
      <c r="F107" s="4">
        <v>0.25</v>
      </c>
      <c r="G107" s="4"/>
      <c r="H107" s="4">
        <v>0.25</v>
      </c>
    </row>
    <row r="108" spans="1:8" x14ac:dyDescent="0.25">
      <c r="A108" s="38"/>
      <c r="B108" s="61"/>
      <c r="C108" s="9"/>
      <c r="D108" s="11"/>
      <c r="E108" s="11"/>
      <c r="F108" s="25">
        <f>SUM(F92:F107)</f>
        <v>11.75</v>
      </c>
      <c r="G108" s="25"/>
      <c r="H108" s="25">
        <f>SUM(H92:H107)</f>
        <v>11.75</v>
      </c>
    </row>
    <row r="109" spans="1:8" ht="25.5" x14ac:dyDescent="0.25">
      <c r="A109" s="76" t="s">
        <v>212</v>
      </c>
      <c r="B109" s="89" t="s">
        <v>213</v>
      </c>
      <c r="C109" s="62" t="s">
        <v>127</v>
      </c>
      <c r="D109" s="2" t="s">
        <v>214</v>
      </c>
      <c r="E109" s="5" t="s">
        <v>22</v>
      </c>
      <c r="F109" s="17">
        <v>1</v>
      </c>
      <c r="G109" s="17"/>
      <c r="H109" s="17">
        <v>1</v>
      </c>
    </row>
    <row r="110" spans="1:8" x14ac:dyDescent="0.25">
      <c r="A110" s="78"/>
      <c r="B110" s="90"/>
      <c r="C110" s="62" t="s">
        <v>127</v>
      </c>
      <c r="D110" s="16" t="s">
        <v>128</v>
      </c>
      <c r="E110" s="5" t="s">
        <v>215</v>
      </c>
      <c r="F110" s="17">
        <v>0.5</v>
      </c>
      <c r="G110" s="17" t="s">
        <v>46</v>
      </c>
      <c r="H110" s="17">
        <v>0.5</v>
      </c>
    </row>
    <row r="111" spans="1:8" x14ac:dyDescent="0.25">
      <c r="A111" s="78"/>
      <c r="B111" s="90"/>
      <c r="C111" s="62" t="s">
        <v>127</v>
      </c>
      <c r="D111" s="16" t="s">
        <v>128</v>
      </c>
      <c r="E111" s="5" t="s">
        <v>129</v>
      </c>
      <c r="F111" s="17">
        <v>0.5</v>
      </c>
      <c r="G111" s="17" t="s">
        <v>46</v>
      </c>
      <c r="H111" s="17">
        <v>0.5</v>
      </c>
    </row>
    <row r="112" spans="1:8" x14ac:dyDescent="0.25">
      <c r="A112" s="77"/>
      <c r="B112" s="91"/>
      <c r="C112" s="15" t="s">
        <v>24</v>
      </c>
      <c r="D112" s="33" t="s">
        <v>216</v>
      </c>
      <c r="E112" s="5" t="s">
        <v>22</v>
      </c>
      <c r="F112" s="34">
        <v>0.5</v>
      </c>
      <c r="G112" s="34"/>
      <c r="H112" s="63">
        <v>0.5</v>
      </c>
    </row>
    <row r="113" spans="1:8" x14ac:dyDescent="0.25">
      <c r="A113" s="38"/>
      <c r="B113" s="61"/>
      <c r="C113" s="9"/>
      <c r="D113" s="11"/>
      <c r="E113" s="11"/>
      <c r="F113" s="25">
        <f>SUM(F109:F112)</f>
        <v>2.5</v>
      </c>
      <c r="G113" s="25"/>
      <c r="H113" s="25">
        <f>SUM(H109:H112)</f>
        <v>2.5</v>
      </c>
    </row>
    <row r="114" spans="1:8" x14ac:dyDescent="0.25">
      <c r="A114" s="79" t="s">
        <v>217</v>
      </c>
      <c r="B114" s="92" t="s">
        <v>218</v>
      </c>
      <c r="C114" s="1" t="s">
        <v>219</v>
      </c>
      <c r="D114" s="2" t="s">
        <v>220</v>
      </c>
      <c r="E114" s="5" t="s">
        <v>169</v>
      </c>
      <c r="F114" s="4">
        <v>0.5</v>
      </c>
      <c r="G114" s="4" t="s">
        <v>46</v>
      </c>
      <c r="H114" s="4">
        <v>0.5</v>
      </c>
    </row>
    <row r="115" spans="1:8" x14ac:dyDescent="0.25">
      <c r="A115" s="79"/>
      <c r="B115" s="92"/>
      <c r="C115" s="57" t="s">
        <v>132</v>
      </c>
      <c r="D115" s="2" t="s">
        <v>135</v>
      </c>
      <c r="E115" s="5" t="s">
        <v>221</v>
      </c>
      <c r="F115" s="4">
        <v>1</v>
      </c>
      <c r="G115" s="4" t="s">
        <v>12</v>
      </c>
      <c r="H115" s="4">
        <v>1</v>
      </c>
    </row>
    <row r="116" spans="1:8" ht="25.5" x14ac:dyDescent="0.25">
      <c r="A116" s="79"/>
      <c r="B116" s="92"/>
      <c r="C116" s="57" t="s">
        <v>132</v>
      </c>
      <c r="D116" s="2" t="s">
        <v>135</v>
      </c>
      <c r="E116" s="5" t="s">
        <v>222</v>
      </c>
      <c r="F116" s="4">
        <v>1</v>
      </c>
      <c r="G116" s="4" t="s">
        <v>12</v>
      </c>
      <c r="H116" s="4">
        <v>1</v>
      </c>
    </row>
    <row r="117" spans="1:8" x14ac:dyDescent="0.25">
      <c r="A117" s="79"/>
      <c r="B117" s="92"/>
      <c r="C117" s="57" t="s">
        <v>132</v>
      </c>
      <c r="D117" s="2" t="s">
        <v>135</v>
      </c>
      <c r="E117" s="5" t="s">
        <v>223</v>
      </c>
      <c r="F117" s="4">
        <v>1</v>
      </c>
      <c r="G117" s="4" t="s">
        <v>12</v>
      </c>
      <c r="H117" s="4">
        <v>1</v>
      </c>
    </row>
    <row r="134" ht="15" customHeight="1" x14ac:dyDescent="0.25"/>
    <row r="170" ht="15" customHeight="1" x14ac:dyDescent="0.25"/>
    <row r="241" ht="25.5" customHeight="1" x14ac:dyDescent="0.25"/>
    <row r="252" ht="25.5" customHeight="1" x14ac:dyDescent="0.25"/>
    <row r="270" ht="25.5" customHeight="1" x14ac:dyDescent="0.25"/>
    <row r="279" ht="25.5" customHeight="1" x14ac:dyDescent="0.25"/>
    <row r="284" ht="15" customHeight="1" x14ac:dyDescent="0.25"/>
    <row r="292" ht="25.5" customHeight="1" x14ac:dyDescent="0.25"/>
    <row r="298" ht="25.5" customHeight="1" x14ac:dyDescent="0.25"/>
    <row r="306" ht="25.5" customHeight="1" x14ac:dyDescent="0.25"/>
    <row r="319" ht="15" customHeight="1" x14ac:dyDescent="0.25"/>
    <row r="344" ht="15" customHeight="1" x14ac:dyDescent="0.25"/>
  </sheetData>
  <mergeCells count="55">
    <mergeCell ref="A24:A25"/>
    <mergeCell ref="B24:B25"/>
    <mergeCell ref="A27:A32"/>
    <mergeCell ref="B27:B32"/>
    <mergeCell ref="A34:A35"/>
    <mergeCell ref="B34:B35"/>
    <mergeCell ref="H1:H2"/>
    <mergeCell ref="A3:A9"/>
    <mergeCell ref="B3:B9"/>
    <mergeCell ref="B11:B12"/>
    <mergeCell ref="A15:A22"/>
    <mergeCell ref="B15:B22"/>
    <mergeCell ref="A1:A2"/>
    <mergeCell ref="B1:B2"/>
    <mergeCell ref="C1:C2"/>
    <mergeCell ref="D1:D2"/>
    <mergeCell ref="E1:E2"/>
    <mergeCell ref="F1:G2"/>
    <mergeCell ref="A51:A54"/>
    <mergeCell ref="B51:B54"/>
    <mergeCell ref="A56:A57"/>
    <mergeCell ref="B56:B57"/>
    <mergeCell ref="A61:A65"/>
    <mergeCell ref="B61:B65"/>
    <mergeCell ref="A38:A42"/>
    <mergeCell ref="B38:B42"/>
    <mergeCell ref="A44:A45"/>
    <mergeCell ref="B44:B45"/>
    <mergeCell ref="A48:A49"/>
    <mergeCell ref="B48:B49"/>
    <mergeCell ref="C81:C82"/>
    <mergeCell ref="A88:A90"/>
    <mergeCell ref="B88:B90"/>
    <mergeCell ref="A66:A67"/>
    <mergeCell ref="B66:B67"/>
    <mergeCell ref="A68:A69"/>
    <mergeCell ref="B68:B69"/>
    <mergeCell ref="A72:A73"/>
    <mergeCell ref="B72:B73"/>
    <mergeCell ref="A93:A94"/>
    <mergeCell ref="B93:B94"/>
    <mergeCell ref="A95:A99"/>
    <mergeCell ref="B95:B99"/>
    <mergeCell ref="A100:A101"/>
    <mergeCell ref="B100:B101"/>
    <mergeCell ref="A74:A78"/>
    <mergeCell ref="B74:B78"/>
    <mergeCell ref="A81:A87"/>
    <mergeCell ref="B81:B87"/>
    <mergeCell ref="A102:A107"/>
    <mergeCell ref="B102:B107"/>
    <mergeCell ref="A109:A112"/>
    <mergeCell ref="B109:B112"/>
    <mergeCell ref="A114:A117"/>
    <mergeCell ref="B114:B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2026-03-19T06:27:12Z</dcterms:modified>
</cp:coreProperties>
</file>